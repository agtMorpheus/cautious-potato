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P:\Willmes\2025\PMT Prüf-Messtechnik\1406\257736 -1\"/>
    </mc:Choice>
  </mc:AlternateContent>
  <bookViews>
    <workbookView xWindow="-105" yWindow="-105" windowWidth="19425" windowHeight="10305"/>
  </bookViews>
  <sheets>
    <sheet name="EAW" sheetId="7" r:id="rId1"/>
    <sheet name="Tabelle1" sheetId="8" r:id="rId2"/>
  </sheets>
  <definedNames>
    <definedName name="_xlnm._FilterDatabase" localSheetId="0" hidden="1">EAW!$A$9:$F$88</definedName>
    <definedName name="_xlnm.Print_Area" localSheetId="0">EAW!$A$1:$F$106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7" i="7" l="1"/>
  <c r="F96" i="7"/>
  <c r="F95" i="7"/>
  <c r="F94" i="7"/>
  <c r="F93" i="7"/>
  <c r="F92" i="7"/>
  <c r="F87" i="7"/>
  <c r="F86" i="7"/>
  <c r="F85" i="7"/>
  <c r="F84" i="7"/>
  <c r="F81" i="7"/>
  <c r="F80" i="7"/>
  <c r="F79" i="7"/>
  <c r="F78" i="7"/>
  <c r="F76" i="7"/>
  <c r="F75" i="7"/>
  <c r="F74" i="7"/>
  <c r="F73" i="7"/>
  <c r="F72" i="7"/>
  <c r="F71" i="7"/>
  <c r="F70" i="7"/>
  <c r="F69" i="7"/>
  <c r="F68" i="7"/>
  <c r="F66" i="7"/>
  <c r="F65" i="7"/>
  <c r="F64" i="7"/>
  <c r="F63" i="7"/>
  <c r="F62" i="7"/>
  <c r="F61" i="7"/>
  <c r="F60" i="7"/>
  <c r="F59" i="7"/>
  <c r="F58" i="7"/>
  <c r="F57" i="7"/>
  <c r="F56" i="7"/>
  <c r="F54" i="7"/>
  <c r="F53" i="7"/>
  <c r="F52" i="7"/>
  <c r="F51" i="7"/>
  <c r="F50" i="7"/>
  <c r="F49" i="7"/>
  <c r="F48" i="7"/>
  <c r="F47"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98" i="7" l="1"/>
  <c r="B83" i="7" s="1"/>
  <c r="F83" i="7" s="1"/>
  <c r="F82" i="7" s="1"/>
  <c r="F77" i="7"/>
  <c r="F11" i="7"/>
  <c r="F55" i="7"/>
  <c r="F67" i="7"/>
  <c r="F46" i="7"/>
  <c r="F88" i="7" l="1"/>
  <c r="F100" i="7" s="1"/>
</calcChain>
</file>

<file path=xl/comments1.xml><?xml version="1.0" encoding="utf-8"?>
<comments xmlns="http://schemas.openxmlformats.org/spreadsheetml/2006/main">
  <authors>
    <author/>
  </authors>
  <commentList>
    <comment ref="C12" authorId="0" shapeId="0">
      <text>
        <r>
          <rPr>
            <sz val="10"/>
            <color indexed="8"/>
            <rFont val="Arial"/>
            <family val="2"/>
          </rPr>
          <t xml:space="preserve">Überprüfung der elektrischen Einspeisungen, ein- oder
mehrphasig, für Anlagen und Betriebsmittel gemäß DGUV
V3 und VDE 0105-100. Die Überprüfung beinhaltet eine
Sichtprüfung sowie den messtechnischen Nachweis von
Schutzleiterwiderstand, Schleifenimpedanz,
Netzimpedanz, Kurzschlussstrom und
Isolationswiderstand.
</t>
        </r>
      </text>
    </comment>
    <comment ref="C13" authorId="0" shapeId="0">
      <text>
        <r>
          <rPr>
            <sz val="10"/>
            <color indexed="8"/>
            <rFont val="Arial"/>
            <family val="2"/>
          </rPr>
          <t xml:space="preserve">Überprüfung von Steckdosenstromkreisen gemäß DGUV V3
und VDE 0105-100. Die Überprüfung umfasst eine
Sichtprüfung auf elektrische und mechanische Ausführun
sowie den messtechnischen Nachweis von
Schutzleiterwiderstand, Schleifenimpedanz,
Netzimpedanz, Kurzschlussstrom und
Isolationswiderstand.
</t>
        </r>
      </text>
    </comment>
    <comment ref="C14" authorId="0" shapeId="0">
      <text>
        <r>
          <rPr>
            <sz val="10"/>
            <color indexed="8"/>
            <rFont val="Arial"/>
            <family val="2"/>
          </rPr>
          <t xml:space="preserve">Überprüfung der Fehlerstromschutzschalter gemäß DGUV V
und VDE 0105-100. Durchführung einer Funktionsprüfung.
</t>
        </r>
      </text>
    </comment>
    <comment ref="C15" authorId="0" shapeId="0">
      <text>
        <r>
          <rPr>
            <sz val="10"/>
            <color indexed="8"/>
            <rFont val="Arial"/>
            <family val="2"/>
          </rPr>
          <t xml:space="preserve">Überprüfung der Fehlerstromschutzschalter nach der DGU
V3 und VDE 0105-100. Messtechnischer Nachweis von
Auslösezeit, Auslösestrom und der Berührungsspannung.
</t>
        </r>
      </text>
    </comment>
    <comment ref="C16" authorId="0" shapeId="0">
      <text>
        <r>
          <rPr>
            <sz val="10"/>
            <color indexed="8"/>
            <rFont val="Arial"/>
            <family val="2"/>
          </rPr>
          <t xml:space="preserve">Überprüfung eines Fehlerstrom-Schutzschalters gemäß
DGUV V3 und VDE 0105-100. Messtechnischer Nachweis von
Auslösezeit, Auslösestrom, Berührungsspannung,
Schutzleiterwiderstand, Schleifenimpedanz,
Netzimpedanz, Kurzschlussstrom und
Isolationswiderstand.
</t>
        </r>
      </text>
    </comment>
    <comment ref="C17" authorId="0" shapeId="0">
      <text>
        <r>
          <rPr>
            <sz val="10"/>
            <color indexed="8"/>
            <rFont val="Arial"/>
            <family val="2"/>
          </rPr>
          <t xml:space="preserve">Überprüfung eines Lichtkreises (Lichtkreis = Leitung)
gemäß DGUV V3 und VDE 0105-100. Durchführung einer
Sicht- und Funktionsprüfung sowie messtechnischer
Nachweis von Schutzleiterwiderstand, Schleifenimpedanz
Netzimpedanz, Kurzschlussstrom und Isolationswiderstan
in einer Höhe über 4 Meter.
</t>
        </r>
      </text>
    </comment>
    <comment ref="C18" authorId="0" shapeId="0">
      <text>
        <r>
          <rPr>
            <sz val="10"/>
            <color indexed="8"/>
            <rFont val="Arial"/>
            <family val="2"/>
          </rPr>
          <t xml:space="preserve">Überprüfung eines Lichtkreises (Lichtkreis = Leitung)
gemäß DGUV V3 und VDE 0105-100. Durchführung einer
Sicht- und Funktionsprüfung sowie messtechnischer
Nachweis von Schutzleiterwiderstand, Schleifenimpedanz
Netzimpedanz, Kurzschlussstrom und Isolationswiderstan
in einer Höhe unter 4 Meter.
</t>
        </r>
      </text>
    </comment>
    <comment ref="C19" authorId="0" shapeId="0">
      <text>
        <r>
          <rPr>
            <sz val="10"/>
            <color indexed="8"/>
            <rFont val="Arial"/>
            <family val="2"/>
          </rPr>
          <t xml:space="preserve">Überprüfung eines Potentialausgleiches an einer Anlage
(z.B.: Haupterdungsschiene,
Hauptpotentialausgleichsleiter, Rohrleitungssysteme,
Hauptschutzleiter, Fundamenterder, Versorgungsanlagen,
Metallkonstruktion).
Die Überprüfung beinhaltet eine Sichtprüfung sowie den
messtechnischen Nachweis.
</t>
        </r>
      </text>
    </comment>
    <comment ref="C20" authorId="0" shapeId="0">
      <text>
        <r>
          <rPr>
            <sz val="10"/>
            <color indexed="8"/>
            <rFont val="Arial"/>
            <family val="2"/>
          </rPr>
          <t xml:space="preserve">Überprüfung des Isolationswiderstands an ein- oder
mehrphasigen Leitungen gemäß der DGUV V3.
(Messumfang für eine Leitung/Kabel)
</t>
        </r>
      </text>
    </comment>
    <comment ref="C21" authorId="0" shapeId="0">
      <text>
        <r>
          <rPr>
            <sz val="10"/>
            <color indexed="8"/>
            <rFont val="Arial"/>
            <family val="2"/>
          </rPr>
          <t xml:space="preserve">Überprüfung des Schutzleiterwiderstands an ein- oder
mehrphasigen Leitungen gemäß der DGUV V3 in einer Höhe
unter 4 Meter.
</t>
        </r>
      </text>
    </comment>
    <comment ref="C22" authorId="0" shapeId="0">
      <text>
        <r>
          <rPr>
            <sz val="10"/>
            <color indexed="8"/>
            <rFont val="Arial"/>
            <family val="2"/>
          </rPr>
          <t xml:space="preserve">Überprüfung des Schutzleiterwiderstands an ein- oder
mehrphasigen Leitungen gemäß der DGUV V3 in einer Höhe
über 4 Meter.
</t>
        </r>
      </text>
    </comment>
    <comment ref="C23" authorId="0" shapeId="0">
      <text>
        <r>
          <rPr>
            <sz val="10"/>
            <color indexed="8"/>
            <rFont val="Arial"/>
            <family val="2"/>
          </rPr>
          <t xml:space="preserve">Überprüfung eines CEE-Steckdosenstromkreises gemäß DGU
V3 und VDE 0105-100. Dies umfasst eine Sichtprüfung au
elektrische und mechanische Ausführung, die Erprobung
der Drehfelder und den messtechnischen Nachweis von
Schutzleiterwiderstand, Schleifenimpedanz,
Netzimpedanz, Kurzschlussstrom und Isolationswiderstan
an allen Potenzialen der Zuleitung (allpolig).
</t>
        </r>
      </text>
    </comment>
    <comment ref="C24" authorId="0" shapeId="0">
      <text>
        <r>
          <rPr>
            <sz val="10"/>
            <color indexed="8"/>
            <rFont val="Arial"/>
            <family val="2"/>
          </rPr>
          <t xml:space="preserve">Überprüfung eines CEE-Steckdosenstromkreises gemäß DGU
V3 und VDE 0105-100. Dies beinhaltet eine Sichtprüfung
auf elektrische und mechanische Ausführung, die
Erprobung der Drehfelder und den messtechnischen
Nachweis von Schutzleiterwiderstand, Schleifenimpedanz
Netzimpedanz, Kurzschlussstrom, Isolationswiderstand
sowie RCD-Messungen (Auslösezeit, Auslösestrom und
Berührungsspannung) an allen Potenzialen der Zuleitung
(allpolig).
</t>
        </r>
      </text>
    </comment>
    <comment ref="C25" authorId="0" shapeId="0">
      <text>
        <r>
          <rPr>
            <sz val="10"/>
            <color indexed="8"/>
            <rFont val="Arial"/>
            <family val="2"/>
          </rPr>
          <t xml:space="preserve">Überprüfung einer CEE-Steckdosenkombination gemäß DGUV
V3 und VDE 0105-100. Dies umfasst eine Sichtprüfung au
elektrische und mechanische Ausführung, die Erprobung
der Drehfelder und den messtechnischen Nachweis von
Schutzleiterwiderstand, Schleifenimpedanz,
Netzimpedanz, Kurzschlussstrom und Isolationswiderstan
an allen Potenzialen der Zuleitung sowie an allen
Abgängen der Kombination (allpolig).
</t>
        </r>
      </text>
    </comment>
    <comment ref="C26" authorId="0" shapeId="0">
      <text>
        <r>
          <rPr>
            <sz val="10"/>
            <color indexed="8"/>
            <rFont val="Arial"/>
            <family val="2"/>
          </rPr>
          <t xml:space="preserve">Überprüfung einer CEE-Steckdosenkombination gemäß DGUV
V3 und VDE 0105-100. Dies beinhaltet eine Sichtprüfung
auf elektrische und mechanische Ausführung, die
Erprobung der Drehfelder und den messtechnischen
Nachweis von Schutzleiterwiderstand, Schleifenimpedanz
Netzimpedanz, Kurzschlussstrom, Isolationswiderstand
sowie RCD-Messungen (Auslösezeit, Auslösestrom und
Berührungsspannung) an allen Potenzialen der Zuleitung
und an allen Abgängen der Kombination (allpolig).
</t>
        </r>
      </text>
    </comment>
    <comment ref="C27" authorId="0" shapeId="0">
      <text>
        <r>
          <rPr>
            <sz val="10"/>
            <color indexed="8"/>
            <rFont val="Arial"/>
            <family val="2"/>
          </rPr>
          <t xml:space="preserve">Überprüfung der Sicherheitsbeleuchtung gemäß ASR A2.3
ASR A3.4.
Dies beinhaltet die Überprüfung der Schutzmaßnahmen
gemäß VDE 0105-100, die Kontrolle der
Schutzleiteranschlüsse, die Funktionsprüfung, die
Überprüfung von Haupt- und Ersatznetz, die Sichtprüfun
elektrischer Bauteile, der Verdrahtung, die
Sichtprüfung mechanischer Bauteile, die Prüfung der
Zeichnungsunterlagen, die Sichtprüfung der Beleuchtung
nach Umschaltung auf Ersatznetz sowie die Dokumentatio
der Anlagendaten im Protokoll.
</t>
        </r>
      </text>
    </comment>
    <comment ref="C28" authorId="0" shapeId="0">
      <text>
        <r>
          <rPr>
            <sz val="10"/>
            <color indexed="8"/>
            <rFont val="Arial"/>
            <family val="2"/>
          </rPr>
          <t xml:space="preserve">Überprüfung von Baustromverteilern gemäß DGUV V3. Dies
beinhaltet eine visuelle Inspektion sowie die
messtechnische Prüfung des Isolationswiderstands, des
Schutzleiterwiderstands, der Schleifenimpedanz, der
Auslösezeit, der Berührungsspannung und des
Auslösestroms. Ebenso werden alle Schraubverbindungen
und Klemmstellen auf festen mechanischen Sitz
kontrolliert.
Zusätzlich umfasst die Überprüfung einen
messtechnischen Nachweis für den Potenzialausgleich un
die Durchgängigkeit des Schutzleiters.
</t>
        </r>
      </text>
    </comment>
    <comment ref="C29" authorId="0" shapeId="0">
      <text>
        <r>
          <rPr>
            <sz val="10"/>
            <color indexed="8"/>
            <rFont val="Arial"/>
            <family val="2"/>
          </rPr>
          <t xml:space="preserve">Sicht- und Funktionsprüfung eines Verteilers inklusive
Einspeisung und Abgänge bis zu 20 elektrische Bauteile
gemäß DGUV V3 und VDE 0105-100. Dies umfasst die
Auswahl der Betriebsmittel, die Kennzeichnung der
Stromkreise, Betriebsmittel und Bauteile, die Prüfung
auf Schutz vor direktem Berühren, sowie die
Dokumentation. Es erfolgt auch die Kontrolle aller
Schraubverbindungen und Klemmstellen auf festen
mechanischen Sitz.
Inklusive messtechnischem Nachweis für den
Potenzialausgleich und die Durchgängigkeit des
Schutzleiters.
</t>
        </r>
      </text>
    </comment>
    <comment ref="C30" authorId="0" shapeId="0">
      <text>
        <r>
          <rPr>
            <sz val="10"/>
            <color indexed="8"/>
            <rFont val="Arial"/>
            <family val="2"/>
          </rPr>
          <t xml:space="preserve">Sicht- und Funktionsprüfung eines Verteilers inklusive
Einspeisung und Abgänge bis zu 40 elektrische Bauteile
gemäß DGUV V3 und VDE 0105-100. Dies umfasst die
Auswahl der Betriebsmittel, die Kennzeichnung der
Stromkreise, Betriebsmittel und Bauteile, die Prüfung
auf Schutz vor direktem Berühren, sowie die
Dokumentation. Es erfolgt auch die Kontrolle aller
Schraubverbindungen und Klemmstellen auf festen
mechanischen Sitz.
Inklusive messtechnischem Nachweis für den
Potenzialausgleich und die Durchgängigkeit des
Schutzleiters.
</t>
        </r>
      </text>
    </comment>
    <comment ref="C31" authorId="0" shapeId="0">
      <text>
        <r>
          <rPr>
            <sz val="10"/>
            <color indexed="8"/>
            <rFont val="Arial"/>
            <family val="2"/>
          </rPr>
          <t xml:space="preserve">Sicht- und Funktionsprüfung eines Verteilers inklusive
Einspeisung und Abgänge über 40 elektrische Bauteile
gemäß DGUV V3 und VDE 0105-100. Dies umfasst die
Auswahl der Betriebsmittel, die Kennzeichnung der
Stromkreise, Betriebsmittel und Bauteile, die Prüfung
auf Schutz vor direktem Berühren, sowie die
Dokumentation. Es erfolgt auch die Kontrolle aller
Schraubverbindungen und Klemmstellen auf festen
mechanischen Sitz.
Inklusive messtechnischem Nachweis für den
Potenzialausgleich und die Durchgängigkeit des
Schutzleiters.
</t>
        </r>
      </text>
    </comment>
    <comment ref="C32" authorId="0" shapeId="0">
      <text>
        <r>
          <rPr>
            <sz val="10"/>
            <color indexed="8"/>
            <rFont val="Arial"/>
            <family val="2"/>
          </rPr>
          <t xml:space="preserve">Sicht- und Funktionsprüfung eines Kraftverteilers
inklusive Einspeisung und Abgänge gemäß VDE 0105-100
und DGUV V3. Es erfolgt eine Kontrolle aller
Schraubverbindungen und Klemmstellen auf festen
mechanischen Sitz.
Inklusive messtechnischem Nachweis für den
Potenzialausgleich und die Durchgängigkeit des
Schutzleiters.
</t>
        </r>
      </text>
    </comment>
    <comment ref="C33" authorId="0" shapeId="0">
      <text>
        <r>
          <rPr>
            <sz val="10"/>
            <color indexed="8"/>
            <rFont val="Arial"/>
            <family val="2"/>
          </rPr>
          <t xml:space="preserve">Überprüfung von Verlängerungsleitungen gemäß DGUV V3
und VDE 0702.
Sichtprüfung und messtechnischer Nachweis von
Isolationswiderstand und Schutzleiterwiderstand.
</t>
        </r>
      </text>
    </comment>
    <comment ref="C34" authorId="0" shapeId="0">
      <text>
        <r>
          <rPr>
            <sz val="10"/>
            <color indexed="8"/>
            <rFont val="Arial"/>
            <family val="2"/>
          </rPr>
          <t xml:space="preserve">Überprüfung von Verlängerungsleitungen gemäß DGUV V3
und VDE 0702.
Sichtprüfung und messtechnischer Nachweis von
Isolationswiderstand und Schutzleiterwiderstand.
</t>
        </r>
      </text>
    </comment>
    <comment ref="C35" authorId="0" shapeId="0">
      <text>
        <r>
          <rPr>
            <sz val="10"/>
            <color indexed="8"/>
            <rFont val="Arial"/>
            <family val="2"/>
          </rPr>
          <t xml:space="preserve">Überprüfung von ortsveränderlichen elektrischen
Betriebsmitteln gemäß DGUV V3 und VDE 0702 (z.B.
Kaffeemaschine, Wasserkocher, etc.).
Dies beinhaltet eine Sichtprüfung, eine
Funktionsprüfung und den messtechnischen Nachweis von
Isolationswiderstand und Schutzleiterwiderstand.
</t>
        </r>
      </text>
    </comment>
    <comment ref="C36" authorId="0" shapeId="0">
      <text>
        <r>
          <rPr>
            <sz val="10"/>
            <color indexed="8"/>
            <rFont val="Arial"/>
            <family val="2"/>
          </rPr>
          <t xml:space="preserve">Überprüfung von ortsfesten elektrischen Betriebsmittel
(z.B. Kühlschrank, Geschirrspülmaschine, Schleifbock,
Standbohrmaschine, etc.) gemäß DGUV V3, VDE 0105-100
bzw. VDE 0701-0702. Dies beinhaltet eine Sichtprüfung,
eine Funktionsprüfung und den messtechnischen Nachweis
von Isolationswiderstand und Schutzleiterwiderstand.
</t>
        </r>
      </text>
    </comment>
    <comment ref="C37" authorId="0" shapeId="0">
      <text>
        <r>
          <rPr>
            <sz val="10"/>
            <color indexed="8"/>
            <rFont val="Arial"/>
            <family val="2"/>
          </rPr>
          <t xml:space="preserve">Sicht- und Funktionsprüfung eines Schaltschrankes bis
1000x1000mm inkl. Einspeisung und Abgänge nach der VDE
0105-100 und DGUV V3. Reinigung eines Schaltschranks,
Kontrolle aller Schraubverbindungen und Klemmstellen
auf festen mechanischen Sitz.
Inklusive messtechnischem Nachweis für den
Potenzialausgleich und die Durchgängigkeit des
Schutzleiters.
</t>
        </r>
      </text>
    </comment>
    <comment ref="C38" authorId="0" shapeId="0">
      <text>
        <r>
          <rPr>
            <sz val="10"/>
            <color indexed="8"/>
            <rFont val="Arial"/>
            <family val="2"/>
          </rPr>
          <t xml:space="preserve">Sicht- und Funktionsprüfung eines Schaltschrankes bis
600x2000mm inkl. Einspeisung und Abgänge nach der VDE
0105-100 und DGUV V3. Reinigung eines Schaltschranks,
Kontrolle aller Schraubverbindungen und Klemmstellen
auf festen mechanischen Sitz.
Inklusive messtechnischem Nachweis für den
Potenzialausgleich und die Durchgängigkeit des
Schutzleiters.
</t>
        </r>
      </text>
    </comment>
    <comment ref="C39" authorId="0" shapeId="0">
      <text>
        <r>
          <rPr>
            <sz val="10"/>
            <color indexed="8"/>
            <rFont val="Arial"/>
            <family val="2"/>
          </rPr>
          <t xml:space="preserve">Prüfung wie in Position 01.01.0230 beschrieben, an
einem weiteren, mit Position 01.01.240
zusammenhängenden, Schaltschrankfeldes mit den Maßen
bis 600x2000mm. Reinigung eines Schaltschranks,
Kontrolle aller Schraubverbindungen und Klemmstellen
auf festen mechanischen Sitz.
Inklusive messtechnischem Nachweis für den
Potenzialausgleich und die Durchgängigkeit des
Schutzleiters.
</t>
        </r>
      </text>
    </comment>
    <comment ref="C40" authorId="0" shapeId="0">
      <text>
        <r>
          <rPr>
            <sz val="10"/>
            <color indexed="8"/>
            <rFont val="Arial"/>
            <family val="2"/>
          </rPr>
          <t xml:space="preserve">Sicht- und Funktionsprüfung eines Schaltanlagenfeldes
bis 600x2000mm inkl. Einspeisung und Abgänge nach der
VDE 0105-100 und DGUV V3. Reinigung eines
Schaltanlagenfeldes, Kontrolle aller
Schraubverbindungen und Klemmstellen auf festen
mechanischen Sitz.
Inklusive messtechnischem Nachweis für den
Potenzialausgleich und die Durchgängigkeit des
Schutzleiters.
</t>
        </r>
      </text>
    </comment>
    <comment ref="C41" authorId="0" shapeId="0">
      <text>
        <r>
          <rPr>
            <sz val="10"/>
            <color indexed="8"/>
            <rFont val="Arial"/>
            <family val="2"/>
          </rPr>
          <t xml:space="preserve">Prüfung wie in Position 01.01.0250 beschrieben, an
einem weiteren, mit Position 01.01.0260
zusammenhängenden, Schaltschrankfeldes mit den Maßen
bis 600x2000mm. Reinigung eines Schaltanlagenfeldes,
Kontrolle aller Schraubverbindungen und Klemmstellen
auf festen mechanischen Sitz.
Inklusive messtechnischem Nachweis für den
Potenzialausgleich und die Durchgängigkeit des
Schutzleiters.
</t>
        </r>
      </text>
    </comment>
    <comment ref="C42" authorId="0" shapeId="0">
      <text>
        <r>
          <rPr>
            <sz val="10"/>
            <color indexed="8"/>
            <rFont val="Arial"/>
            <family val="2"/>
          </rPr>
          <t xml:space="preserve">Überprüfung eines Server-Racks nach VDE 0105-100 und
DGUV V3 inkl. messtechnischen Nachweis des
Schutzleiterwiderstandes.
</t>
        </r>
      </text>
    </comment>
    <comment ref="C43" authorId="0" shapeId="0">
      <text>
        <r>
          <rPr>
            <sz val="10"/>
            <color indexed="8"/>
            <rFont val="Arial"/>
            <family val="2"/>
          </rPr>
          <t xml:space="preserve">Sicht- und Funktionsprüfung an einem Umluftkühlgerät
(z.B. Alko) inkl. Einspeisung und Verbraucher nach der
VDE 0113- 1 und DGUV V3. Reinigung eines
Umluftkühlgerätes, Kontrolle aller Schraubverbindungen
und Klemmstellen auf festen mechanischen Sitz.
</t>
        </r>
      </text>
    </comment>
    <comment ref="C44" authorId="0" shapeId="0">
      <text>
        <r>
          <rPr>
            <sz val="10"/>
            <color indexed="8"/>
            <rFont val="Arial"/>
            <family val="2"/>
          </rPr>
          <t xml:space="preserve">Prüfung von Schweißgeräten nach DIN VDE 0544-4.
Funktionsprüfung, Ein/Aus-Schalteinrichtung für den
Netzanschluss, Spannungsminderungseinrichtung,
Gas-Magnetventil, Melde- und Kontrollleuchten.
Sichtprüfung, Schutzleiterwiderstand,
Isolationswiderstand, Berührungsstrom des
Schweißstromkreises, Berührungsstrom für den
Normalbetrieb und des Schutzleiterstroms,
Leerlaufspannung und Funktionsprüfung.
</t>
        </r>
      </text>
    </comment>
    <comment ref="C45" authorId="0" shapeId="0">
      <text>
        <r>
          <rPr>
            <sz val="10"/>
            <color indexed="8"/>
            <rFont val="Arial"/>
            <family val="2"/>
          </rPr>
          <t xml:space="preserve">Prüfung von Schweißgeräten nach DIN VDE 0544-4.
Funktionsprüfung, Ein/Aus-Schalteinrichtung für den
Netzanschluss, Spannungsminderungseinrichtung,
Gas-Magnetventil, Melde- und Kontrollleuchten.
Sichtprüfung, Schutzleiterwiderstand,
Isolationswiderstand, Berührungsstrom des
Schweißstromkreises, Berührungsstrom für den
Normalbetrieb und des Schutzleiterstroms,
Leerlaufspannung und Funktionsprüfung.
</t>
        </r>
      </text>
    </comment>
    <comment ref="C47" authorId="0" shapeId="0">
      <text>
        <r>
          <rPr>
            <sz val="10"/>
            <color indexed="8"/>
            <rFont val="Arial"/>
            <family val="2"/>
          </rPr>
          <t xml:space="preserve">Besichtigung, Erprobung und Messung der Ladestation
gemäß DIN VDE 0122-1 (IEC 61851-1) sowie den
Herstellervorgaben.
Durchführung eines Funktionstests der Anzeigeleuchten
und der Ladekabelhalterungen.
Authentifizierung an der Ladestation mittels RFID oder
vergleichbarem Verfahren.
Überprüfung der Ladezustände durch Funktionsprüfung.
Kontrolle sämtlicher Schraubverbindungen und
Klemmstellen auf festen mechanischen Sitz.
Reinigung der Ladesäule innen und außen, einschließlic
Displayreinigung.
</t>
        </r>
      </text>
    </comment>
    <comment ref="C48" authorId="0" shapeId="0">
      <text>
        <r>
          <rPr>
            <sz val="10"/>
            <color indexed="8"/>
            <rFont val="Arial"/>
            <family val="2"/>
          </rPr>
          <t xml:space="preserve">Besichtigung, Erprobung und Messung der Ladestation
gemäß DIN VDE 0122-1 (IEC 61851-1) sowie den
Herstellervorgaben.
Durchführung eines Funktionstests der Anzeigeleuchten
und der Ladekabelhalterungen.
Authentifizierung an der Ladestation mittels RFID oder
vergleichbarem Verfahren.
Überprüfung der Ladezustände durch Funktionsprüfung.
Kontrolle sämtlicher Schraubverbindungen und
Klemmstellen auf festen mechanischen Sitz.
Reinigung der Ladesäule innen und außen, einschließlic
Displayreinigung.
</t>
        </r>
      </text>
    </comment>
    <comment ref="C49" authorId="0" shapeId="0">
      <text>
        <r>
          <rPr>
            <sz val="10"/>
            <color indexed="8"/>
            <rFont val="Arial"/>
            <family val="2"/>
          </rPr>
          <t xml:space="preserve">Sichtprüfung des Gehäuses.
Auslösen des RCD (Fehlerstromschutzschalters) mithilfe
der Prüftaste an bis zu zwei Ladepunkten.
</t>
        </r>
      </text>
    </comment>
    <comment ref="C50" authorId="0" shapeId="0">
      <text>
        <r>
          <rPr>
            <sz val="10"/>
            <color indexed="8"/>
            <rFont val="Arial"/>
            <family val="2"/>
          </rPr>
          <t xml:space="preserve">Besichtigung, Erprobung und Messung der Ladestation
gemäß DIN VDE 0122-1 (IEC 61851-1) sowie den
Herstellervorgaben.
Durchführung eines Funktionstests der Anzeigeleuchten
und der Ladekabelhalterungen.
Authentifizierung an der Ladestation mittels RFID oder
vergleichbarem Verfahren.
Überprüfung der Ladezustände durch Funktionsprüfung.
Kontrolle sämtlicher Schraubverbindungen und
Klemmstellen auf festen mechanischen Sitz.
Reinigung der Ladesäule innen und außen, einschließlic
Displayreinigung.
</t>
        </r>
      </text>
    </comment>
    <comment ref="C51" authorId="0" shapeId="0">
      <text>
        <r>
          <rPr>
            <sz val="10"/>
            <color indexed="8"/>
            <rFont val="Arial"/>
            <family val="2"/>
          </rPr>
          <t xml:space="preserve">Besichtigung, Erprobung und Messung der Ladestation
gemäß DIN VDE 0122-1 (IEC 61851-1) sowie den
Herstellervorgaben.
Durchführung eines Funktionstests der Anzeigeleuchten
und der Ladekabelhalterungen.
Authentifizierung an der Ladestation mittels RFID oder
vergleichbarem Verfahren.
Überprüfung der Ladezustände durch Funktionsprüfung.
Kontrolle sämtlicher Schraubverbindungen und
Klemmstellen auf festen mechanischen Sitz.
Reinigung der Ladesäule innen und außen, einschließlic
Displayreinigung.
</t>
        </r>
      </text>
    </comment>
    <comment ref="C52" authorId="0" shapeId="0">
      <text>
        <r>
          <rPr>
            <sz val="10"/>
            <color indexed="8"/>
            <rFont val="Arial"/>
            <family val="2"/>
          </rPr>
          <t xml:space="preserve">Besichtigung, Erprobung und Messung der Ladestation
gemäß DIN VDE 0122-1 (IEC 61851-1) sowie den
Herstellervorgaben.
Durchführung eines Funktionstests der Anzeigeleuchten
und der Ladekabelhalterungen.
Authentifizierung an der Ladestation mittels RFID oder
vergleichbarem Verfahren.
Überprüfung der Ladezustände durch Funktionsprüfung.
Kontrolle sämtlicher Schraubverbindungen und
Klemmstellen auf festen mechanischen Sitz.
Reinigung der Ladesäule innen und außen, einschließlic
Displayreinigung.
</t>
        </r>
      </text>
    </comment>
    <comment ref="C53" authorId="0" shapeId="0">
      <text>
        <r>
          <rPr>
            <sz val="10"/>
            <color indexed="8"/>
            <rFont val="Arial"/>
            <family val="2"/>
          </rPr>
          <t xml:space="preserve">Prüfanweisung nach Herstellervorgaben ausführen.
Sichtprüfung, Erproben, Messen nach VDE 0702 (DIN EN
50699, IEC 62955, IEC 62752).
Nachweis Isolationswiderstand aller Leiter auf Primär-
und Sekundärseite,
Nachweis des RCD, Berührungsspannung, Auslösezeit,
Auslösestrom,
Nachweis des RCMA/RCMB Differenzstroms.
Unterbrechungsprüfung der Leiter.
Vertauschung Prüfung L-PE.
Prüfung von Fremdspannung auf PE.
Simulation von Fehlerfällen nach DIN VDE 0122-1.
</t>
        </r>
      </text>
    </comment>
    <comment ref="C54" authorId="0" shapeId="0">
      <text>
        <r>
          <rPr>
            <sz val="10"/>
            <color indexed="8"/>
            <rFont val="Arial"/>
            <family val="2"/>
          </rPr>
          <t xml:space="preserve">Prüfanweisung nach Herstellervorgaben ausführen.
Sichtprüfung, Erproben, Messen nach VDE 0702 (DIN EN
50699, IEC 62955, IEC 62752).
Nachweis Isolationswiderstand aller Leiter auf Primär-
und Sekundärseite,
Nachweis des RCD, Berührungsspannung, Auslösezeit,
Auslösestrom,
Nachweis des RCMA/RCMB Differenzstroms  .
Unterbrechungsprüfung der Leiter.
Vertauschung Prüfung L-PE.
Prüfung von Fremdspannung auf PE.
Simulation von Fehlerfällen nach DIN VDE 0122-1.
</t>
        </r>
      </text>
    </comment>
    <comment ref="C56" authorId="0" shapeId="0">
      <text>
        <r>
          <rPr>
            <sz val="10"/>
            <color indexed="8"/>
            <rFont val="Arial"/>
            <family val="2"/>
          </rPr>
          <t xml:space="preserve">Überprüfung von Heißluftdämpfer diverser Hersteller
gemäß DGUV V3, VDE 0105-100 bzw. VDE 0701-0702. Dies
beinhaltet eine Sichtprüfung, eine Funktionsprüfung un
den messtechnischen Nachweis von Isolationswiderstand
und Schutzleiterwiderstand.
</t>
        </r>
      </text>
    </comment>
    <comment ref="C57" authorId="0" shapeId="0">
      <text>
        <r>
          <rPr>
            <sz val="10"/>
            <color indexed="8"/>
            <rFont val="Arial"/>
            <family val="2"/>
          </rPr>
          <t xml:space="preserve">Überprüfung von Fritteusen diverser Hersteller gemäß
DGUV V3, VDE 0105-100 bzw. VDE 0701-0702. Dies
beinhaltet eine Sichtprüfung, eine Funktionsprüfung un
den messtechnischen Nachweis von Isolationswiderstand
und Schutzleiterwiderstand.
</t>
        </r>
      </text>
    </comment>
    <comment ref="C58" authorId="0" shapeId="0">
      <text>
        <r>
          <rPr>
            <sz val="10"/>
            <color indexed="8"/>
            <rFont val="Arial"/>
            <family val="2"/>
          </rPr>
          <t xml:space="preserve">Überprüfung von Fritteusen diverser Hersteller gemäß
DGUV V3, VDE 0105-100 bzw. VDE 0701-0702. Dies
beinhaltet eine Sichtprüfung, eine Funktionsprüfung un
den messtechnischen Nachweis von Isolationswiderstand
und Schutzleiterwiderstand.
</t>
        </r>
      </text>
    </comment>
    <comment ref="C59" authorId="0" shapeId="0">
      <text>
        <r>
          <rPr>
            <sz val="10"/>
            <color indexed="8"/>
            <rFont val="Arial"/>
            <family val="2"/>
          </rPr>
          <t xml:space="preserve">Überprüfung von Kochkessel diverser Hersteller gemäß
DGUV V3, VDE 0105-100 bzw. VDE 0701-0702. Dies
beinhaltet eine Sichtprüfung, eine Funktionsprüfung un
den messtechnischen Nachweis von Isolationswiderstand
und Schutzleiterwiderstand.
</t>
        </r>
      </text>
    </comment>
    <comment ref="C60" authorId="0" shapeId="0">
      <text>
        <r>
          <rPr>
            <sz val="10"/>
            <color indexed="8"/>
            <rFont val="Arial"/>
            <family val="2"/>
          </rPr>
          <t xml:space="preserve">Überprüfung von Kochkessel diverser Hersteller gemäß
DGUV V3, VDE 0105-100 bzw. VDE 0701-0702. Dies
beinhaltet eine Sichtprüfung, eine Funktionsprüfung un
den messtechnischen Nachweis von Isolationswiderstand
und Schutzleiterwiderstand.
</t>
        </r>
      </text>
    </comment>
    <comment ref="C61" authorId="0" shapeId="0">
      <text>
        <r>
          <rPr>
            <sz val="10"/>
            <color indexed="8"/>
            <rFont val="Arial"/>
            <family val="2"/>
          </rPr>
          <t xml:space="preserve">Überprüfung von Wärmeausgaben (Bain Maries) gemäß DGUV
V3, VDE 0105-100 bzw. VDE 0701-0702. Dies beinhaltet
eine Sichtprüfung, eine Funktionsprüfung und den
messtechnischen Nachweis von Isolationswiderstand und
Schutzleiterwiderstand.
</t>
        </r>
      </text>
    </comment>
    <comment ref="C62" authorId="0" shapeId="0">
      <text>
        <r>
          <rPr>
            <sz val="10"/>
            <color indexed="8"/>
            <rFont val="Arial"/>
            <family val="2"/>
          </rPr>
          <t xml:space="preserve">Überprüfung von Kühl- und Tiefkühlschränke diverser
Hersteller gemäß DGUV V3, VDE 0105-100 bzw. VDE
0701-0702. Dies beinhaltet eine Sichtprüfung, eine
Funktionsprüfung und den messtechnischen Nachweis von
Isolationswiderstand und Schutzleiterwiderstand.
</t>
        </r>
      </text>
    </comment>
    <comment ref="C63" authorId="0" shapeId="0">
      <text>
        <r>
          <rPr>
            <sz val="10"/>
            <color indexed="8"/>
            <rFont val="Arial"/>
            <family val="2"/>
          </rPr>
          <t xml:space="preserve">Überprüfung von Kühltresen, ortsfest gemäß DGUV V3, VD
0105-100 bzw. VDE 0701-0702. Dies beinhaltet eine
Sichtprüfung, eine Funktionsprüfung und den
messtechnischen Nachweis von Isolationswiderstand und
Schutzleiterwiderstand.
</t>
        </r>
      </text>
    </comment>
    <comment ref="C64" authorId="0" shapeId="0">
      <text>
        <r>
          <rPr>
            <sz val="10"/>
            <color indexed="8"/>
            <rFont val="Arial"/>
            <family val="2"/>
          </rPr>
          <t xml:space="preserve">Überprüfung von Beleuchtung und Heizstrahler von
Wärmeausgaben gemäß DGUV V3, VDE 0105-100 bzw. VDE
0701-0702. Dies beinhaltet eine Sichtprüfung, eine
Funktionsprüfung und den messtechnischen Nachweis von
Isolationswiderstand und Schutzleiterwiderstand.
</t>
        </r>
      </text>
    </comment>
    <comment ref="C65" authorId="0" shapeId="0">
      <text>
        <r>
          <rPr>
            <sz val="10"/>
            <color indexed="8"/>
            <rFont val="Arial"/>
            <family val="2"/>
          </rPr>
          <t xml:space="preserve">Überprüfung von Geräte der Nahrungsmittelproduktion
gemäß DGUV V3, VDE 0105-100 bzw. VDE 0701-0702. Dies
beinhaltet eine Sichtprüfung, eine Funktionsprüfung un
den messtechnischen Nachweis von Isolationswiderstand
und Schutzleiterwiderstand.
</t>
        </r>
      </text>
    </comment>
    <comment ref="C66" authorId="0" shapeId="0">
      <text>
        <r>
          <rPr>
            <sz val="10"/>
            <color indexed="8"/>
            <rFont val="Arial"/>
            <family val="2"/>
          </rPr>
          <t xml:space="preserve">Überprüfung von ortsfesten elektrischen Betriebsmittel
gemäß DGUV V3, VDE 0105-100 bzw. VDE 0701-0702. Dies
beinhaltet eine Sichtprüfung, eine Funktionsprüfung un
den messtechnischen Nachweis von Isolationswiderstand
und Schutzleiterwiderstand.
</t>
        </r>
      </text>
    </comment>
    <comment ref="C68" authorId="0" shapeId="0">
      <text>
        <r>
          <rPr>
            <sz val="10"/>
            <color indexed="8"/>
            <rFont val="Arial"/>
            <family val="2"/>
          </rPr>
          <t xml:space="preserve">Verrechnungssatz, Helfer, pro Stunde.
Im folgenden Zeitraum:
Tage: Montag - Samstag
Zeit: 06:00 - 20:00 Uhr
</t>
        </r>
      </text>
    </comment>
    <comment ref="C69" authorId="0" shapeId="0">
      <text>
        <r>
          <rPr>
            <sz val="10"/>
            <color indexed="8"/>
            <rFont val="Arial"/>
            <family val="2"/>
          </rPr>
          <t xml:space="preserve">Verrechnungssatz, Fachmonteur, pro Stunde.
Im folgenden Zeitraum:
Tage: Montag - Samstag
Zeit: 06:00 - 20:00 Uhr
</t>
        </r>
      </text>
    </comment>
    <comment ref="C70" authorId="0" shapeId="0">
      <text>
        <r>
          <rPr>
            <sz val="10"/>
            <color indexed="8"/>
            <rFont val="Arial"/>
            <family val="2"/>
          </rPr>
          <t xml:space="preserve">Verrechnungssatz, Obermonteur, pro Stunde.
Im folgenden Zeitraum:
Tage: Montag - Samstag
Zeit: 06:00 - 20:00 Uhr
</t>
        </r>
      </text>
    </comment>
    <comment ref="C71" authorId="0" shapeId="0">
      <text>
        <r>
          <rPr>
            <sz val="10"/>
            <color indexed="8"/>
            <rFont val="Arial"/>
            <family val="2"/>
          </rPr>
          <t xml:space="preserve">Gemäß der oben genannten Spezifikation im folgenden
Zeitraum:
Tage: Sonn- und Feiertage
Zeit: 06:00 - 20:00 Uhr
</t>
        </r>
      </text>
    </comment>
    <comment ref="C72" authorId="0" shapeId="0">
      <text>
        <r>
          <rPr>
            <sz val="10"/>
            <color indexed="8"/>
            <rFont val="Arial"/>
            <family val="2"/>
          </rPr>
          <t xml:space="preserve">Gemäß der oben genannten Spezifikation im folgenden
Zeitraum:
Tage: Sonn- und Feiertage
Zeit: 06:00 - 20:00 Uhr
</t>
        </r>
      </text>
    </comment>
    <comment ref="C73" authorId="0" shapeId="0">
      <text>
        <r>
          <rPr>
            <sz val="10"/>
            <color indexed="8"/>
            <rFont val="Arial"/>
            <family val="2"/>
          </rPr>
          <t xml:space="preserve">Gemäß der oben genannten Spezifikation im folgenden
Zeitraum:
Tage: Sonn- und Feiertage
Zeit: 06:00 - 20:00 Uhr
</t>
        </r>
      </text>
    </comment>
    <comment ref="C74" authorId="0" shapeId="0">
      <text>
        <r>
          <rPr>
            <sz val="10"/>
            <color indexed="8"/>
            <rFont val="Arial"/>
            <family val="2"/>
          </rPr>
          <t xml:space="preserve">Gemäß der oben genannten Spezifikation im folgenden
Zeitraum:
Tage: Sonn- und Feiertage
Zeit: 20:00 - 06:00 Uhr
</t>
        </r>
      </text>
    </comment>
    <comment ref="C75" authorId="0" shapeId="0">
      <text>
        <r>
          <rPr>
            <sz val="10"/>
            <color indexed="8"/>
            <rFont val="Arial"/>
            <family val="2"/>
          </rPr>
          <t xml:space="preserve">Gemäß der oben genannten Spezifikation im folgenden
Zeitraum:
Tage: Sonn- und Feiertage
Zeit: 20:00 - 06:00 Uhr
</t>
        </r>
      </text>
    </comment>
    <comment ref="C76" authorId="0" shapeId="0">
      <text>
        <r>
          <rPr>
            <sz val="10"/>
            <color indexed="8"/>
            <rFont val="Arial"/>
            <family val="2"/>
          </rPr>
          <t xml:space="preserve">Gemäß der oben genannten Spezifikation im folgenden
Zeitraum:
Tage: Sonn- und Feiertage
Zeit: 20:00 - 06:00 Uhr
</t>
        </r>
      </text>
    </comment>
    <comment ref="C78" authorId="0" shapeId="0">
      <text>
        <r>
          <rPr>
            <sz val="10"/>
            <color indexed="8"/>
            <rFont val="Arial"/>
            <family val="2"/>
          </rPr>
          <t xml:space="preserve">Verrechnungssatz für Scherenarbeitsbühnen über 4 Meter
bis 8 Meter, ausschließlich Fahrzeugkosten, mit
Sicherungsposten pro Tag/netto.
</t>
        </r>
      </text>
    </comment>
    <comment ref="C79" authorId="0" shapeId="0">
      <text>
        <r>
          <rPr>
            <sz val="10"/>
            <color indexed="8"/>
            <rFont val="Arial"/>
            <family val="2"/>
          </rPr>
          <t xml:space="preserve">Verrechnungssatz für Scherenarbeitsbühnen über 8 Meter
bis 12 Meter, ausschließlich Fahrzeugkosten, mit
Sicherungsposten pro Tag/netto.
</t>
        </r>
      </text>
    </comment>
    <comment ref="C80" authorId="0" shapeId="0">
      <text>
        <r>
          <rPr>
            <sz val="10"/>
            <color indexed="8"/>
            <rFont val="Arial"/>
            <family val="2"/>
          </rPr>
          <t xml:space="preserve">Verrechnungssatz für Teleskop über 4 Meter bis 8 Meter
ausschließlich Fahrzeugkosten, mit Sicherungsposten pr
Tag/netto.
</t>
        </r>
      </text>
    </comment>
    <comment ref="C81" authorId="0" shapeId="0">
      <text>
        <r>
          <rPr>
            <sz val="10"/>
            <color indexed="8"/>
            <rFont val="Arial"/>
            <family val="2"/>
          </rPr>
          <t xml:space="preserve">Verrechnungssatz für Teleskop über 8 Meter bis 12
Meter, ausschließlich Fahrzeugkosten, mit
Sicherungsposten pro Tag/netto.
</t>
        </r>
      </text>
    </comment>
    <comment ref="C83" authorId="0" shapeId="0">
      <text>
        <r>
          <rPr>
            <sz val="10"/>
            <color indexed="8"/>
            <rFont val="Arial"/>
            <family val="2"/>
          </rPr>
          <t xml:space="preserve">Zuschlag in % für die Anlieferung und Beistellung von
Material.
</t>
        </r>
      </text>
    </comment>
    <comment ref="C84" authorId="0" shapeId="0">
      <text>
        <r>
          <rPr>
            <sz val="10"/>
            <color indexed="8"/>
            <rFont val="Arial"/>
            <family val="2"/>
          </rPr>
          <t xml:space="preserve">Fotografie Aufnahme an elektrischen Anlagen zur
Dokumentation des Ist- Zustandes inklusive der
digitalen Bearbeitung der Fotos und Protokollierung, 1
bis 10 Fotos.
</t>
        </r>
      </text>
    </comment>
    <comment ref="C85" authorId="0" shapeId="0">
      <text>
        <r>
          <rPr>
            <sz val="10"/>
            <color indexed="8"/>
            <rFont val="Arial"/>
            <family val="2"/>
          </rPr>
          <t xml:space="preserve">Thermografieaufnahme einer elektrischen Anlage
inklusive Prüfbericht.
</t>
        </r>
      </text>
    </comment>
    <comment ref="C86" authorId="0" shapeId="0">
      <text>
        <r>
          <rPr>
            <sz val="10"/>
            <color indexed="8"/>
            <rFont val="Arial"/>
            <family val="2"/>
          </rPr>
          <t xml:space="preserve">Erstellung eines Belegungsplans inklusive
Stromkreisbezeichnung, Klemmbezeichnung und
Zielbezeichnung.
Dies beinhaltet den Ausdruck des Plans und dessen
Anbringung im Verteiler.
</t>
        </r>
      </text>
    </comment>
    <comment ref="C87" authorId="0" shapeId="0">
      <text>
        <r>
          <rPr>
            <sz val="10"/>
            <color indexed="8"/>
            <rFont val="Arial"/>
            <family val="2"/>
          </rPr>
          <t xml:space="preserve">Pflegen eines Datensatzes in ein VW-System inklusive
Erfassung der notwendigen Auftragsdaten (z.B. MAXIMO,
IZYTRONIC).
</t>
        </r>
      </text>
    </comment>
  </commentList>
</comments>
</file>

<file path=xl/sharedStrings.xml><?xml version="1.0" encoding="utf-8"?>
<sst xmlns="http://schemas.openxmlformats.org/spreadsheetml/2006/main" count="331" uniqueCount="218">
  <si>
    <t>Datum:</t>
  </si>
  <si>
    <t>Auftrags-Nr.:</t>
  </si>
  <si>
    <t>Einsatzort:</t>
  </si>
  <si>
    <t>Abruf:</t>
  </si>
  <si>
    <t>Position-Nr.</t>
  </si>
  <si>
    <t>Beschreibung</t>
  </si>
  <si>
    <t>EP [EUR]</t>
  </si>
  <si>
    <t>Summe</t>
  </si>
  <si>
    <t xml:space="preserve">Rahmenvertrag Prüfen/Messen nach DGUV V3 </t>
  </si>
  <si>
    <t>.</t>
  </si>
  <si>
    <t xml:space="preserve">Prüfung nach DGUV V3 / VDE </t>
  </si>
  <si>
    <t xml:space="preserve">Elektrische Zuleitungen für stationäre Anlagen und Betriebsmittel </t>
  </si>
  <si>
    <t xml:space="preserve">Steckdosenstromkreise 230 V </t>
  </si>
  <si>
    <t xml:space="preserve">Fehlerstromschutzschalter - Funktionsprüfung </t>
  </si>
  <si>
    <t xml:space="preserve">Fehlerstromschutzschalter - Messtechnisch </t>
  </si>
  <si>
    <t xml:space="preserve">FI/LS </t>
  </si>
  <si>
    <t xml:space="preserve">Lichtkreise in Höhe über 4 Meter </t>
  </si>
  <si>
    <t xml:space="preserve">Lichtkreise in Höhe unter 4 Meter </t>
  </si>
  <si>
    <t xml:space="preserve">Potentialausgleich </t>
  </si>
  <si>
    <t xml:space="preserve">Messung des Isolationswiderstands </t>
  </si>
  <si>
    <t xml:space="preserve">Messung eines Schutzleiterwiderstands unter 4 Meter </t>
  </si>
  <si>
    <t xml:space="preserve">Messung eines Schutzleiterwiderstands über 4 Meter </t>
  </si>
  <si>
    <t xml:space="preserve">Steckdosenstromkreise CEE 16 A - 125 A ohne RCD (FI) </t>
  </si>
  <si>
    <t xml:space="preserve">Steckdosenstromkreise CEE 16 A - 125 A mit RCD (FI) </t>
  </si>
  <si>
    <t xml:space="preserve">Steckdosenstromkreise CEE Kombination ohne RCD (FI) </t>
  </si>
  <si>
    <t xml:space="preserve">Steckdosenstromkreise CEE Kombination mit RCD (FI) </t>
  </si>
  <si>
    <t xml:space="preserve">Sicherheitsbeleuchtung (Haupt- u. Ersatznetz) </t>
  </si>
  <si>
    <t xml:space="preserve">Baustromverteiler </t>
  </si>
  <si>
    <t xml:space="preserve">Verteiler bis 20 Bauteile </t>
  </si>
  <si>
    <t xml:space="preserve">Verteiler bis 40 Bauteile </t>
  </si>
  <si>
    <t xml:space="preserve">Verteiler über 40 Bauteile </t>
  </si>
  <si>
    <t xml:space="preserve">Kraftverteiler </t>
  </si>
  <si>
    <t xml:space="preserve">Verlängerungsleitungen </t>
  </si>
  <si>
    <t xml:space="preserve">Verlängerungsleitungen, 3-Polig </t>
  </si>
  <si>
    <t xml:space="preserve">Ortsveränderliche elektrische Betriebsmittel </t>
  </si>
  <si>
    <t xml:space="preserve">Ortsfeste elektrische Betriebsmittel </t>
  </si>
  <si>
    <t xml:space="preserve">Schaltschrank 1 </t>
  </si>
  <si>
    <t xml:space="preserve">Schaltschrank 2 </t>
  </si>
  <si>
    <t xml:space="preserve">jedes weitere Schaltschrankfeld 2 </t>
  </si>
  <si>
    <t xml:space="preserve">Schaltanlagenfeld 1 </t>
  </si>
  <si>
    <t xml:space="preserve">jedes weitere Schaltanlagenfeld 1 </t>
  </si>
  <si>
    <t xml:space="preserve">Server-Rack </t>
  </si>
  <si>
    <t xml:space="preserve">ULKG </t>
  </si>
  <si>
    <t xml:space="preserve">Schweißgeräte bis 32A </t>
  </si>
  <si>
    <t xml:space="preserve">Schweißgeräte bis 64A </t>
  </si>
  <si>
    <t xml:space="preserve">E-Mobility </t>
  </si>
  <si>
    <t xml:space="preserve">AC-Wallbox / Ladestation mit 1 Ladepunkt </t>
  </si>
  <si>
    <t xml:space="preserve">AC- Wallbox / Ladestation mit 2 Ladepunkten </t>
  </si>
  <si>
    <t xml:space="preserve">Sichtprüfung + RCD Funktionstest einer Wallbox / Ladestation </t>
  </si>
  <si>
    <t xml:space="preserve">DC- Wallbox / Ladestation mit 1 Ladepunkt </t>
  </si>
  <si>
    <t xml:space="preserve">DC- Wallbox / Ladestation mit 2 Ladepunkten </t>
  </si>
  <si>
    <t xml:space="preserve">AC/DC Ladestation mit 2 Ladepunkten </t>
  </si>
  <si>
    <t xml:space="preserve">Mode 2 Ladekabel </t>
  </si>
  <si>
    <t xml:space="preserve">Mode 3 Ladekabel </t>
  </si>
  <si>
    <t xml:space="preserve">Gastronomie </t>
  </si>
  <si>
    <t xml:space="preserve">Heißluftdämpfer, diverser Hersteller </t>
  </si>
  <si>
    <t xml:space="preserve">Fritteusen, diverser Hersteller </t>
  </si>
  <si>
    <t xml:space="preserve">Ceran-Kochfelder, diverser Hersteller </t>
  </si>
  <si>
    <t xml:space="preserve">Kochkessel, diverser Hersteller </t>
  </si>
  <si>
    <t xml:space="preserve">Kippbratpfannen </t>
  </si>
  <si>
    <t xml:space="preserve">Wärmeausgaben (Bain Maries) </t>
  </si>
  <si>
    <t xml:space="preserve">Kühl- und Tiefkühlschränke, diverser Hersteller </t>
  </si>
  <si>
    <t xml:space="preserve">Kühltresen, ortsfest </t>
  </si>
  <si>
    <t xml:space="preserve">Beleuchtung und Heizstrahler von Wärmeausgaben </t>
  </si>
  <si>
    <t xml:space="preserve">Geräte der Nahrungsmittelproduktion </t>
  </si>
  <si>
    <t xml:space="preserve">Sonstige Elektro-Geräte </t>
  </si>
  <si>
    <t xml:space="preserve">Arbeiten ohne Festpreisbindung </t>
  </si>
  <si>
    <t xml:space="preserve">Helferstunde (H) </t>
  </si>
  <si>
    <t xml:space="preserve">Fachmonteurstunde (M) </t>
  </si>
  <si>
    <t xml:space="preserve">Obermonteurstunde (O) </t>
  </si>
  <si>
    <t xml:space="preserve">Helferstunde (H),  Zuschlag Sonn- und Feiertage </t>
  </si>
  <si>
    <t xml:space="preserve">Fachmonteur (M),  Zuschlag Sonn- und Feiertage </t>
  </si>
  <si>
    <t xml:space="preserve">Obermonteur (O),  Zuschlag Sonn- und Feiertage </t>
  </si>
  <si>
    <t xml:space="preserve">Helfer (H), Zuschlag Nachtarbeit </t>
  </si>
  <si>
    <t xml:space="preserve">Fachmonteur (M),  Zuschlag Nachtarbeit </t>
  </si>
  <si>
    <t xml:space="preserve">Obermonteur (O), Zuschlag Nachtarbeit </t>
  </si>
  <si>
    <t xml:space="preserve">Arbeitsbühnen </t>
  </si>
  <si>
    <t xml:space="preserve">Scherenbühne über 4 Meter  8 Meter pro Tag </t>
  </si>
  <si>
    <t xml:space="preserve">Scherenbühne über 8 Meter  12 Meter pro Tag </t>
  </si>
  <si>
    <t xml:space="preserve">Teleskop Steiger über 4 Meter  8 Meter pro Tag </t>
  </si>
  <si>
    <t xml:space="preserve">Teleskop Steiger über 8 Meter  12 Meter pro Tag </t>
  </si>
  <si>
    <t xml:space="preserve">Zusatzpositionen </t>
  </si>
  <si>
    <t xml:space="preserve">Material </t>
  </si>
  <si>
    <t xml:space="preserve">Fotografie </t>
  </si>
  <si>
    <t xml:space="preserve">Thermografie </t>
  </si>
  <si>
    <t xml:space="preserve">Belegungsplan </t>
  </si>
  <si>
    <t xml:space="preserve">Systempflege </t>
  </si>
  <si>
    <t>Summe Pos:</t>
  </si>
  <si>
    <t>Summe Material:</t>
  </si>
  <si>
    <t>Auftragssumme:</t>
  </si>
  <si>
    <t>lfd-Pos.</t>
  </si>
  <si>
    <t>Menge</t>
  </si>
  <si>
    <t>Materialaufmaß</t>
  </si>
  <si>
    <t>Einheit</t>
  </si>
  <si>
    <t xml:space="preserve">Kostenschätzung </t>
  </si>
  <si>
    <t>St</t>
  </si>
  <si>
    <t>DLV:</t>
  </si>
  <si>
    <t>01.01.0010.</t>
  </si>
  <si>
    <t>01.01.0020.</t>
  </si>
  <si>
    <t>01.01.0030.</t>
  </si>
  <si>
    <t>01.01.0040.</t>
  </si>
  <si>
    <t>01.01.0050.</t>
  </si>
  <si>
    <t>01.01.0060.</t>
  </si>
  <si>
    <t>01.01.0070.</t>
  </si>
  <si>
    <t>01.01.0080.</t>
  </si>
  <si>
    <t>01.01.0090.</t>
  </si>
  <si>
    <t>01.01.0100.</t>
  </si>
  <si>
    <t>01.01.0110.</t>
  </si>
  <si>
    <t>01.01.0120.</t>
  </si>
  <si>
    <t>01.01.0130.</t>
  </si>
  <si>
    <t>01.01.0140.</t>
  </si>
  <si>
    <t>01.01.0150.</t>
  </si>
  <si>
    <t>01.01.0160.</t>
  </si>
  <si>
    <t>01.01.0170.</t>
  </si>
  <si>
    <t>01.01.0180.</t>
  </si>
  <si>
    <t>01.01.0190.</t>
  </si>
  <si>
    <t>01.01.0200.</t>
  </si>
  <si>
    <t>01.01.0210.</t>
  </si>
  <si>
    <t>01.01.0220.</t>
  </si>
  <si>
    <t>01.01.0230.</t>
  </si>
  <si>
    <t>01.01.0240.</t>
  </si>
  <si>
    <t>01.01.0250.</t>
  </si>
  <si>
    <t>01.01.0260.</t>
  </si>
  <si>
    <t>01.01.0270.</t>
  </si>
  <si>
    <t>01.01.0280.</t>
  </si>
  <si>
    <t>01.01.0290.</t>
  </si>
  <si>
    <t>01.01.0300.</t>
  </si>
  <si>
    <t>01.01.0310.</t>
  </si>
  <si>
    <t>01.01.0320.</t>
  </si>
  <si>
    <t>01.01.0330.</t>
  </si>
  <si>
    <t>01.01.0340.</t>
  </si>
  <si>
    <t>01.02.0010.</t>
  </si>
  <si>
    <t>01.02.0020.</t>
  </si>
  <si>
    <t>01.02.0030.</t>
  </si>
  <si>
    <t>01.02.0040.</t>
  </si>
  <si>
    <t>01.02.0050.</t>
  </si>
  <si>
    <t>01.02.0060.</t>
  </si>
  <si>
    <t>01.02.0070.</t>
  </si>
  <si>
    <t>01.02.0080.</t>
  </si>
  <si>
    <t>01.03.0010.</t>
  </si>
  <si>
    <t>01.03.0020.</t>
  </si>
  <si>
    <t>01.03.0030.</t>
  </si>
  <si>
    <t>01.03.0040.</t>
  </si>
  <si>
    <t>01.03.0050.</t>
  </si>
  <si>
    <t>01.03.0060.</t>
  </si>
  <si>
    <t>01.03.0070.</t>
  </si>
  <si>
    <t>01.03.0080.</t>
  </si>
  <si>
    <t>01.03.0090.</t>
  </si>
  <si>
    <t>01.03.0100.</t>
  </si>
  <si>
    <t>01.03.0110.</t>
  </si>
  <si>
    <t>h</t>
  </si>
  <si>
    <t>01.04.0010.</t>
  </si>
  <si>
    <t>01.04.0020.</t>
  </si>
  <si>
    <t>01.04.0030.</t>
  </si>
  <si>
    <t>01.04.0040.</t>
  </si>
  <si>
    <t>01.04.0050.</t>
  </si>
  <si>
    <t>01.04.0060.</t>
  </si>
  <si>
    <t>01.04.0070.</t>
  </si>
  <si>
    <t>01.04.0080.</t>
  </si>
  <si>
    <t>01.04.0090.</t>
  </si>
  <si>
    <t>01.05.0010.</t>
  </si>
  <si>
    <t>01.05.0020.</t>
  </si>
  <si>
    <t>01.05.0030.</t>
  </si>
  <si>
    <t>01.05.0040.</t>
  </si>
  <si>
    <t>01.06.0010.</t>
  </si>
  <si>
    <t>%</t>
  </si>
  <si>
    <t>01.06.0020.</t>
  </si>
  <si>
    <t>01.06.0030.</t>
  </si>
  <si>
    <t>01.06.0040.</t>
  </si>
  <si>
    <t>01.06.0050.</t>
  </si>
  <si>
    <t>Bemerkung:</t>
  </si>
  <si>
    <t>Unterschrift Auftraggeber</t>
  </si>
  <si>
    <t>Anlage:</t>
  </si>
  <si>
    <t>01.</t>
  </si>
  <si>
    <t>01.01.</t>
  </si>
  <si>
    <t>01.02.</t>
  </si>
  <si>
    <t>01.03.</t>
  </si>
  <si>
    <t>01.04.</t>
  </si>
  <si>
    <t>01.05.</t>
  </si>
  <si>
    <t>01.06.</t>
  </si>
  <si>
    <t>EAW-Mat</t>
  </si>
  <si>
    <t>Kurztext</t>
  </si>
  <si>
    <t>Katalog EP</t>
  </si>
  <si>
    <t>Name</t>
  </si>
  <si>
    <t>Lagerwert</t>
  </si>
  <si>
    <t>Lagerort</t>
  </si>
  <si>
    <t>Brother Schriftbandkassette
BF.gelb/DF.schwarz TZe-651</t>
  </si>
  <si>
    <t>SO2802755</t>
  </si>
  <si>
    <t>Willmes Instandhaltung -&gt; Plaketten Messen</t>
  </si>
  <si>
    <t>Brother Schriftbandkassette
BF.weiß/DF.schwarz TZe-231</t>
  </si>
  <si>
    <t>SO2802726</t>
  </si>
  <si>
    <t>Prüfplakette ASR A3 D=30mm</t>
  </si>
  <si>
    <t>bre2638-30F</t>
  </si>
  <si>
    <t>Grundplaketten, Standardfolie</t>
  </si>
  <si>
    <t>bre2216B</t>
  </si>
  <si>
    <t>Plakette 10mm nächste Prüfung</t>
  </si>
  <si>
    <t>bre10mm</t>
  </si>
  <si>
    <t>Prüfplakette "Nächster Prüftermin DGUV Vorschrift 3" Material: Standardfolie Format: d = 30 mm</t>
  </si>
  <si>
    <t>2083-30F19</t>
  </si>
  <si>
    <t>Prüfplakette individuell Nächste Batteriewartung und DGUV V3 Prüfung</t>
  </si>
  <si>
    <t>bre2638-30FB</t>
  </si>
  <si>
    <t>Kabelprüfplakette, Nächste Prüfung, 2021, Folie</t>
  </si>
  <si>
    <t>BreK219A21</t>
  </si>
  <si>
    <t>Prüfplakette, Nächster Prüftermin - DGUV Vorschrift 3, Standardfolie</t>
  </si>
  <si>
    <t>Bre1968-R30F25</t>
  </si>
  <si>
    <t>Kabelprüfplakette, Nächste Prüfung, Vinylfolie, 100 x 25 mm</t>
  </si>
  <si>
    <t>BreK2195A25</t>
  </si>
  <si>
    <t>Prüfplakette, Defekt - Keine weitere Benutzung!, Standardfolie, Ø 30 mm, Heft</t>
  </si>
  <si>
    <t>bre2119-30F</t>
  </si>
  <si>
    <t>KZM-Aufkleber</t>
  </si>
  <si>
    <t>Bre7015FS</t>
  </si>
  <si>
    <t>Brother Schriftbandkassette
BF.gelb/DF.schwarz TZe-641</t>
  </si>
  <si>
    <t>SO2802754</t>
  </si>
  <si>
    <t>Brother Schriftbandkassette
BF.gelb/DF.schwarz TZe-C31</t>
  </si>
  <si>
    <t>SO2803235</t>
  </si>
  <si>
    <t>Kabelprüfplakette, Nächste Prüfung, Vinylfolie, 50 x 20 mm</t>
  </si>
  <si>
    <t>BreK2195B25</t>
  </si>
  <si>
    <t>Prüfplakette "Nächster Prüftermin DGUV Vorschrift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</si>
</sst>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0_ ;[Red]\-#,##0.00\ "/>
    <numFmt numFmtId="166" formatCode="#,##0.00_ ;[Red]\-#,##0.00_ "/>
    <numFmt numFmtId="167" formatCode="#,##0.00\ &quot;€&quot;"/>
  </numFmts>
  <fonts count="15" x14ac:knownFonts="1">
    <font>
      <sz val="11"/>
      <color theme="1"/>
      <name val="Calibri"/>
      <family val="2"/>
      <scheme val="minor"/>
    </font>
    <font>
      <b/>
      <sz val="8"/>
      <color indexed="9"/>
      <name val="Arial"/>
      <family val="2"/>
    </font>
    <font>
      <sz val="8"/>
      <color indexed="9"/>
      <name val="Arial"/>
      <family val="2"/>
    </font>
    <font>
      <b/>
      <sz val="10"/>
      <color indexed="9"/>
      <name val="Arial"/>
      <family val="2"/>
    </font>
    <font>
      <sz val="10"/>
      <color indexed="9"/>
      <name val="Arial"/>
      <family val="2"/>
    </font>
    <font>
      <sz val="10"/>
      <name val="Arial"/>
      <family val="2"/>
    </font>
    <font>
      <b/>
      <sz val="10"/>
      <name val="Arial"/>
      <family val="2"/>
    </font>
    <font>
      <sz val="10"/>
      <color indexed="8"/>
      <name val="Arial"/>
      <family val="2"/>
    </font>
    <font>
      <sz val="10"/>
      <color rgb="FF1F497D"/>
      <name val="Arial"/>
      <family val="2"/>
    </font>
    <font>
      <b/>
      <sz val="10"/>
      <color rgb="FF003366"/>
      <name val="Arial"/>
      <family val="2"/>
    </font>
    <font>
      <u/>
      <sz val="10"/>
      <name val="Arial"/>
      <family val="2"/>
    </font>
    <font>
      <sz val="11"/>
      <color rgb="FFFFFFFF"/>
      <name val="Calibri"/>
      <family val="2"/>
      <scheme val="minor"/>
    </font>
    <font>
      <b/>
      <sz val="11"/>
      <color theme="1"/>
      <name val="Calibri"/>
      <family val="2"/>
      <scheme val="minor"/>
    </font>
    <font>
      <b/>
      <sz val="12"/>
      <name val="Arial"/>
      <family val="2"/>
    </font>
    <font>
      <sz val="8"/>
      <name val="Arial"/>
      <family val="2"/>
    </font>
  </fonts>
  <fills count="6">
    <fill>
      <patternFill patternType="none"/>
    </fill>
    <fill>
      <patternFill patternType="gray125"/>
    </fill>
    <fill>
      <patternFill patternType="solid">
        <fgColor theme="0" tint="-0.499984740745262"/>
        <bgColor indexed="64"/>
      </patternFill>
    </fill>
    <fill>
      <patternFill patternType="solid">
        <fgColor rgb="FF003366"/>
        <bgColor indexed="64"/>
      </patternFill>
    </fill>
    <fill>
      <patternFill patternType="solid">
        <fgColor rgb="FF1F497D"/>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49" fontId="0" fillId="0" borderId="0" xfId="0" applyNumberFormat="1" applyProtection="1">
      <protection locked="0"/>
    </xf>
    <xf numFmtId="0" fontId="5" fillId="5" borderId="1" xfId="0" applyFont="1" applyFill="1" applyBorder="1" applyAlignment="1" applyProtection="1">
      <alignment horizontal="center" vertical="center"/>
      <protection locked="0"/>
    </xf>
    <xf numFmtId="166" fontId="5" fillId="5" borderId="1" xfId="0" applyNumberFormat="1" applyFont="1" applyFill="1" applyBorder="1" applyAlignment="1" applyProtection="1">
      <alignment horizontal="center" vertical="center"/>
      <protection locked="0"/>
    </xf>
    <xf numFmtId="0" fontId="5" fillId="5" borderId="1" xfId="0" applyFont="1" applyFill="1" applyBorder="1" applyProtection="1">
      <protection locked="0"/>
    </xf>
    <xf numFmtId="0" fontId="0" fillId="0" borderId="0" xfId="0" applyAlignment="1" applyProtection="1">
      <alignment horizontal="center" vertical="center"/>
      <protection locked="0"/>
    </xf>
    <xf numFmtId="0" fontId="0" fillId="0" borderId="0" xfId="0" applyProtection="1">
      <protection locked="0"/>
    </xf>
    <xf numFmtId="0" fontId="6" fillId="5" borderId="1" xfId="0" applyFont="1" applyFill="1" applyBorder="1" applyAlignment="1" applyProtection="1">
      <alignment horizontal="center" vertical="center"/>
      <protection locked="0"/>
    </xf>
    <xf numFmtId="0" fontId="0" fillId="0" borderId="2" xfId="0" applyBorder="1" applyAlignment="1" applyProtection="1">
      <alignment horizontal="center" vertical="center"/>
      <protection locked="0"/>
    </xf>
    <xf numFmtId="49" fontId="1" fillId="2" borderId="1" xfId="0" applyNumberFormat="1" applyFont="1" applyFill="1" applyBorder="1" applyAlignment="1">
      <alignment horizontal="left" vertical="center"/>
    </xf>
    <xf numFmtId="49" fontId="4" fillId="4" borderId="1" xfId="0" applyNumberFormat="1" applyFont="1" applyFill="1" applyBorder="1"/>
    <xf numFmtId="49" fontId="5" fillId="5" borderId="1" xfId="0" applyNumberFormat="1" applyFont="1" applyFill="1" applyBorder="1"/>
    <xf numFmtId="49" fontId="0" fillId="0" borderId="0" xfId="0" applyNumberFormat="1"/>
    <xf numFmtId="49" fontId="1" fillId="2" borderId="1" xfId="0" applyNumberFormat="1" applyFont="1" applyFill="1" applyBorder="1" applyAlignment="1">
      <alignment horizontal="left" vertical="top"/>
    </xf>
    <xf numFmtId="0" fontId="3" fillId="4" borderId="1" xfId="0" applyFont="1" applyFill="1" applyBorder="1" applyAlignment="1">
      <alignment horizontal="center" vertical="center"/>
    </xf>
    <xf numFmtId="165" fontId="1" fillId="2" borderId="1" xfId="0" applyNumberFormat="1" applyFont="1" applyFill="1" applyBorder="1" applyAlignment="1">
      <alignment horizontal="center" vertical="center"/>
    </xf>
    <xf numFmtId="0" fontId="1" fillId="2" borderId="1" xfId="0" applyFont="1" applyFill="1" applyBorder="1" applyAlignment="1">
      <alignment horizontal="left" vertical="top"/>
    </xf>
    <xf numFmtId="0" fontId="1" fillId="2" borderId="1" xfId="0" applyFont="1" applyFill="1" applyBorder="1" applyAlignment="1">
      <alignment horizontal="center" vertical="center"/>
    </xf>
    <xf numFmtId="165" fontId="2" fillId="2"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1" fillId="2" borderId="1" xfId="0" applyFont="1" applyFill="1" applyBorder="1" applyAlignment="1">
      <alignment horizontal="left" vertical="center"/>
    </xf>
    <xf numFmtId="0" fontId="4" fillId="4" borderId="1" xfId="0" applyFont="1" applyFill="1" applyBorder="1"/>
    <xf numFmtId="0" fontId="5" fillId="5" borderId="1" xfId="0" applyFont="1" applyFill="1" applyBorder="1"/>
    <xf numFmtId="164" fontId="8" fillId="4" borderId="1" xfId="0" applyNumberFormat="1" applyFont="1" applyFill="1" applyBorder="1" applyAlignment="1">
      <alignment horizontal="center" vertical="center"/>
    </xf>
    <xf numFmtId="167" fontId="4" fillId="4" borderId="1" xfId="0" applyNumberFormat="1" applyFont="1" applyFill="1" applyBorder="1" applyAlignment="1">
      <alignment horizontal="center" vertical="center"/>
    </xf>
    <xf numFmtId="167" fontId="6" fillId="5" borderId="1" xfId="0" applyNumberFormat="1" applyFont="1" applyFill="1" applyBorder="1" applyAlignment="1">
      <alignment horizontal="center" vertical="center"/>
    </xf>
    <xf numFmtId="167" fontId="0" fillId="0" borderId="0" xfId="0" applyNumberFormat="1" applyAlignment="1" applyProtection="1">
      <alignment horizontal="center" vertical="center"/>
      <protection locked="0"/>
    </xf>
    <xf numFmtId="167" fontId="1" fillId="2" borderId="1" xfId="0" applyNumberFormat="1" applyFont="1" applyFill="1" applyBorder="1" applyAlignment="1">
      <alignment horizontal="center" vertical="center"/>
    </xf>
    <xf numFmtId="167" fontId="0" fillId="5" borderId="0" xfId="0" applyNumberFormat="1" applyFill="1" applyAlignment="1" applyProtection="1">
      <alignment horizontal="center" vertical="center"/>
      <protection locked="0"/>
    </xf>
    <xf numFmtId="167" fontId="5" fillId="5" borderId="1" xfId="0" applyNumberFormat="1" applyFont="1" applyFill="1" applyBorder="1" applyAlignment="1">
      <alignment horizontal="center" vertical="center"/>
    </xf>
    <xf numFmtId="2" fontId="5" fillId="5" borderId="1" xfId="0" applyNumberFormat="1" applyFont="1" applyFill="1" applyBorder="1" applyAlignment="1">
      <alignment horizontal="center" vertical="center"/>
    </xf>
    <xf numFmtId="167" fontId="3" fillId="3" borderId="1" xfId="0" applyNumberFormat="1" applyFont="1" applyFill="1" applyBorder="1" applyAlignment="1" applyProtection="1">
      <alignment horizontal="center" vertical="center"/>
      <protection locked="0"/>
    </xf>
    <xf numFmtId="49" fontId="3" fillId="3" borderId="1" xfId="0" applyNumberFormat="1" applyFont="1" applyFill="1" applyBorder="1" applyProtection="1">
      <protection locked="0"/>
    </xf>
    <xf numFmtId="0" fontId="3" fillId="3" borderId="1" xfId="0" applyFont="1" applyFill="1" applyBorder="1" applyProtection="1">
      <protection locked="0"/>
    </xf>
    <xf numFmtId="0" fontId="3" fillId="3" borderId="1" xfId="0" applyFont="1" applyFill="1" applyBorder="1" applyAlignment="1" applyProtection="1">
      <alignment horizontal="center" vertical="center"/>
      <protection locked="0"/>
    </xf>
    <xf numFmtId="166" fontId="3" fillId="3" borderId="1" xfId="0" applyNumberFormat="1" applyFont="1" applyFill="1" applyBorder="1" applyAlignment="1" applyProtection="1">
      <alignment horizontal="center" vertical="center"/>
      <protection locked="0"/>
    </xf>
    <xf numFmtId="49" fontId="0" fillId="0" borderId="0" xfId="0" applyNumberFormat="1" applyAlignment="1" applyProtection="1">
      <alignment horizontal="center" vertical="center"/>
      <protection locked="0"/>
    </xf>
    <xf numFmtId="14" fontId="6" fillId="0" borderId="0" xfId="0" applyNumberFormat="1" applyFont="1" applyAlignment="1" applyProtection="1">
      <alignment horizontal="left" wrapText="1"/>
      <protection locked="0"/>
    </xf>
    <xf numFmtId="2" fontId="6" fillId="0" borderId="0" xfId="0" applyNumberFormat="1" applyFont="1" applyAlignment="1" applyProtection="1">
      <alignment horizontal="left" wrapText="1"/>
      <protection locked="0"/>
    </xf>
    <xf numFmtId="49" fontId="1" fillId="2" borderId="1" xfId="0" applyNumberFormat="1" applyFont="1" applyFill="1" applyBorder="1" applyAlignment="1">
      <alignment horizontal="center" vertical="center"/>
    </xf>
    <xf numFmtId="49" fontId="9" fillId="3" borderId="1" xfId="0" applyNumberFormat="1" applyFont="1" applyFill="1" applyBorder="1" applyAlignment="1" applyProtection="1">
      <alignment horizontal="center" vertical="center"/>
      <protection locked="0"/>
    </xf>
    <xf numFmtId="0" fontId="8" fillId="4" borderId="1" xfId="0" applyFont="1" applyFill="1" applyBorder="1" applyAlignment="1">
      <alignment horizontal="center" vertical="center"/>
    </xf>
    <xf numFmtId="0" fontId="6" fillId="5" borderId="1" xfId="0" applyFont="1" applyFill="1" applyBorder="1" applyAlignment="1">
      <alignment horizontal="center" vertical="center"/>
    </xf>
    <xf numFmtId="167" fontId="6" fillId="5" borderId="11" xfId="0" applyNumberFormat="1" applyFont="1" applyFill="1" applyBorder="1" applyAlignment="1">
      <alignment horizontal="center" vertical="center"/>
    </xf>
    <xf numFmtId="49" fontId="11" fillId="0" borderId="0" xfId="0" applyNumberFormat="1" applyFont="1" applyAlignment="1" applyProtection="1">
      <alignment horizontal="center" vertical="center"/>
      <protection locked="0"/>
    </xf>
    <xf numFmtId="167" fontId="13" fillId="5" borderId="12" xfId="0" applyNumberFormat="1" applyFont="1" applyFill="1" applyBorder="1" applyAlignment="1">
      <alignment horizontal="center" vertical="center"/>
    </xf>
    <xf numFmtId="49" fontId="14" fillId="0" borderId="1" xfId="0" applyNumberFormat="1" applyFont="1" applyBorder="1" applyAlignment="1" applyProtection="1">
      <alignment horizontal="center" wrapText="1"/>
      <protection locked="0"/>
    </xf>
    <xf numFmtId="0" fontId="5" fillId="0" borderId="1" xfId="0" applyFont="1" applyBorder="1" applyAlignment="1" applyProtection="1">
      <alignment horizontal="center" vertical="center" wrapText="1"/>
      <protection locked="0"/>
    </xf>
    <xf numFmtId="167" fontId="13" fillId="5" borderId="1" xfId="0" applyNumberFormat="1" applyFont="1" applyFill="1" applyBorder="1" applyAlignment="1">
      <alignment horizontal="center" vertical="center"/>
    </xf>
    <xf numFmtId="0" fontId="12" fillId="0" borderId="0" xfId="0" applyFont="1" applyProtection="1">
      <protection locked="0"/>
    </xf>
    <xf numFmtId="0" fontId="0" fillId="0" borderId="0" xfId="0" applyAlignment="1">
      <alignment wrapText="1"/>
    </xf>
    <xf numFmtId="4" fontId="0" fillId="0" borderId="0" xfId="0" applyNumberFormat="1"/>
    <xf numFmtId="0" fontId="5" fillId="0" borderId="0" xfId="0" applyFont="1" applyAlignment="1">
      <alignment wrapText="1"/>
    </xf>
    <xf numFmtId="0" fontId="5" fillId="5" borderId="1" xfId="0" applyFont="1" applyFill="1" applyBorder="1" applyAlignment="1" applyProtection="1">
      <alignment wrapText="1"/>
      <protection locked="0"/>
    </xf>
    <xf numFmtId="0" fontId="6" fillId="0" borderId="0" xfId="0" applyNumberFormat="1" applyFont="1" applyAlignment="1" applyProtection="1">
      <alignment horizontal="left" vertical="center" wrapText="1"/>
      <protection locked="0"/>
    </xf>
    <xf numFmtId="49" fontId="10" fillId="0" borderId="0" xfId="0" applyNumberFormat="1" applyFont="1" applyAlignment="1">
      <alignment horizontal="left" wrapText="1"/>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xf numFmtId="0" fontId="0" fillId="0" borderId="5" xfId="0" applyBorder="1" applyAlignment="1" applyProtection="1">
      <alignment horizontal="left" vertical="top"/>
      <protection locked="0"/>
    </xf>
    <xf numFmtId="0" fontId="0" fillId="0" borderId="6" xfId="0" applyBorder="1" applyAlignment="1" applyProtection="1">
      <alignment horizontal="left" vertical="top"/>
      <protection locked="0"/>
    </xf>
    <xf numFmtId="0" fontId="0" fillId="0" borderId="0" xfId="0" applyAlignment="1" applyProtection="1">
      <alignment horizontal="left" vertical="top"/>
      <protection locked="0"/>
    </xf>
    <xf numFmtId="0" fontId="0" fillId="0" borderId="7" xfId="0" applyBorder="1" applyAlignment="1" applyProtection="1">
      <alignment horizontal="left" vertical="top"/>
      <protection locked="0"/>
    </xf>
    <xf numFmtId="0" fontId="0" fillId="0" borderId="8" xfId="0" applyBorder="1" applyAlignment="1" applyProtection="1">
      <alignment horizontal="left" vertical="top"/>
      <protection locked="0"/>
    </xf>
    <xf numFmtId="0" fontId="0" fillId="0" borderId="9" xfId="0" applyBorder="1" applyAlignment="1" applyProtection="1">
      <alignment horizontal="left" vertical="top"/>
      <protection locked="0"/>
    </xf>
    <xf numFmtId="0" fontId="0" fillId="0" borderId="10" xfId="0" applyBorder="1" applyAlignment="1" applyProtection="1">
      <alignment horizontal="left" vertical="top"/>
      <protection locked="0"/>
    </xf>
    <xf numFmtId="167" fontId="5" fillId="0" borderId="0" xfId="0" applyNumberFormat="1" applyFont="1" applyAlignment="1">
      <alignment horizontal="center" wrapText="1"/>
    </xf>
  </cellXfs>
  <cellStyles count="1">
    <cellStyle name="Standard" xfId="0" builtinId="0"/>
  </cellStyles>
  <dxfs count="1">
    <dxf>
      <font>
        <b/>
        <i val="0"/>
      </font>
      <fill>
        <patternFill>
          <bgColor rgb="FFFFFF00"/>
        </patternFill>
      </fill>
    </dxf>
  </dxfs>
  <tableStyles count="0" defaultTableStyle="TableStyleMedium2" defaultPivotStyle="PivotStyleLight16"/>
  <colors>
    <mruColors>
      <color rgb="FFFFFFFF"/>
      <color rgb="FF003366"/>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91440</xdr:colOff>
      <xdr:row>1</xdr:row>
      <xdr:rowOff>22859</xdr:rowOff>
    </xdr:from>
    <xdr:to>
      <xdr:col>5</xdr:col>
      <xdr:colOff>1005840</xdr:colOff>
      <xdr:row>5</xdr:row>
      <xdr:rowOff>118754</xdr:rowOff>
    </xdr:to>
    <xdr:pic>
      <xdr:nvPicPr>
        <xdr:cNvPr id="3" name="Picture 1">
          <a:extLst>
            <a:ext uri="{FF2B5EF4-FFF2-40B4-BE49-F238E27FC236}">
              <a16:creationId xmlns:a16="http://schemas.microsoft.com/office/drawing/2014/main" id="{2158BBDC-3D2E-427A-80DC-D6EFE41654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2065" y="213359"/>
          <a:ext cx="2447925" cy="85789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06"/>
  <sheetViews>
    <sheetView tabSelected="1" view="pageBreakPreview" zoomScaleNormal="100" zoomScaleSheetLayoutView="100" workbookViewId="0">
      <selection activeCell="C2" sqref="C2"/>
    </sheetView>
  </sheetViews>
  <sheetFormatPr baseColWidth="10" defaultColWidth="9.140625" defaultRowHeight="15" x14ac:dyDescent="0.25"/>
  <cols>
    <col min="1" max="1" width="12.42578125" style="1" bestFit="1" customWidth="1"/>
    <col min="2" max="2" width="6.42578125" style="36" bestFit="1" customWidth="1"/>
    <col min="3" max="3" width="56.140625" style="6" bestFit="1" customWidth="1"/>
    <col min="4" max="4" width="6.28515625" style="5" bestFit="1" customWidth="1"/>
    <col min="5" max="5" width="16.7109375" style="5" bestFit="1" customWidth="1"/>
    <col min="6" max="6" width="15.140625" style="5" bestFit="1" customWidth="1"/>
  </cols>
  <sheetData>
    <row r="1" spans="1:6" x14ac:dyDescent="0.25">
      <c r="A1" s="12" t="s">
        <v>0</v>
      </c>
      <c r="C1" s="37"/>
    </row>
    <row r="2" spans="1:6" x14ac:dyDescent="0.25">
      <c r="A2" s="12" t="s">
        <v>1</v>
      </c>
      <c r="C2" s="38"/>
    </row>
    <row r="3" spans="1:6" x14ac:dyDescent="0.25">
      <c r="A3" s="12" t="s">
        <v>172</v>
      </c>
      <c r="C3" s="49"/>
    </row>
    <row r="4" spans="1:6" x14ac:dyDescent="0.25">
      <c r="A4" s="12" t="s">
        <v>2</v>
      </c>
      <c r="C4" s="38"/>
    </row>
    <row r="5" spans="1:6" x14ac:dyDescent="0.25">
      <c r="A5" s="12" t="s">
        <v>3</v>
      </c>
      <c r="C5" s="54">
        <v>21571098</v>
      </c>
    </row>
    <row r="6" spans="1:6" x14ac:dyDescent="0.25">
      <c r="A6" s="12" t="s">
        <v>96</v>
      </c>
      <c r="C6" s="54">
        <v>85065481</v>
      </c>
    </row>
    <row r="7" spans="1:6" x14ac:dyDescent="0.25">
      <c r="A7" s="12"/>
    </row>
    <row r="9" spans="1:6" x14ac:dyDescent="0.25">
      <c r="A9" s="9" t="s">
        <v>4</v>
      </c>
      <c r="B9" s="39" t="s">
        <v>91</v>
      </c>
      <c r="C9" s="20" t="s">
        <v>5</v>
      </c>
      <c r="D9" s="17" t="s">
        <v>93</v>
      </c>
      <c r="E9" s="18" t="s">
        <v>6</v>
      </c>
      <c r="F9" s="15" t="s">
        <v>7</v>
      </c>
    </row>
    <row r="10" spans="1:6" x14ac:dyDescent="0.25">
      <c r="A10" s="32" t="s">
        <v>173</v>
      </c>
      <c r="B10" s="40"/>
      <c r="C10" s="33" t="s">
        <v>8</v>
      </c>
      <c r="D10" s="34"/>
      <c r="E10" s="35"/>
      <c r="F10" s="31"/>
    </row>
    <row r="11" spans="1:6" x14ac:dyDescent="0.25">
      <c r="A11" s="10" t="s">
        <v>174</v>
      </c>
      <c r="B11" s="41"/>
      <c r="C11" s="21" t="s">
        <v>10</v>
      </c>
      <c r="D11" s="23" t="s">
        <v>9</v>
      </c>
      <c r="E11" s="23" t="s">
        <v>9</v>
      </c>
      <c r="F11" s="24">
        <f>SUM(F12:F45)</f>
        <v>61.730000000000004</v>
      </c>
    </row>
    <row r="12" spans="1:6" x14ac:dyDescent="0.25">
      <c r="A12" s="11" t="s">
        <v>97</v>
      </c>
      <c r="B12" s="7"/>
      <c r="C12" s="22" t="s">
        <v>11</v>
      </c>
      <c r="D12" s="19" t="s">
        <v>95</v>
      </c>
      <c r="E12" s="29">
        <v>25.48</v>
      </c>
      <c r="F12" s="25">
        <f t="shared" ref="F12:F45" si="0">B12*E12</f>
        <v>0</v>
      </c>
    </row>
    <row r="13" spans="1:6" x14ac:dyDescent="0.25">
      <c r="A13" s="11" t="s">
        <v>98</v>
      </c>
      <c r="B13" s="7"/>
      <c r="C13" s="22" t="s">
        <v>12</v>
      </c>
      <c r="D13" s="19" t="s">
        <v>95</v>
      </c>
      <c r="E13" s="29">
        <v>5.28</v>
      </c>
      <c r="F13" s="25">
        <f t="shared" si="0"/>
        <v>0</v>
      </c>
    </row>
    <row r="14" spans="1:6" x14ac:dyDescent="0.25">
      <c r="A14" s="11" t="s">
        <v>99</v>
      </c>
      <c r="B14" s="7"/>
      <c r="C14" s="22" t="s">
        <v>13</v>
      </c>
      <c r="D14" s="19" t="s">
        <v>95</v>
      </c>
      <c r="E14" s="29">
        <v>3.77</v>
      </c>
      <c r="F14" s="25">
        <f t="shared" si="0"/>
        <v>0</v>
      </c>
    </row>
    <row r="15" spans="1:6" x14ac:dyDescent="0.25">
      <c r="A15" s="11" t="s">
        <v>100</v>
      </c>
      <c r="B15" s="7"/>
      <c r="C15" s="22" t="s">
        <v>14</v>
      </c>
      <c r="D15" s="19" t="s">
        <v>95</v>
      </c>
      <c r="E15" s="29">
        <v>9.33</v>
      </c>
      <c r="F15" s="25">
        <f t="shared" si="0"/>
        <v>0</v>
      </c>
    </row>
    <row r="16" spans="1:6" x14ac:dyDescent="0.25">
      <c r="A16" s="11" t="s">
        <v>101</v>
      </c>
      <c r="B16" s="7"/>
      <c r="C16" s="22" t="s">
        <v>15</v>
      </c>
      <c r="D16" s="19" t="s">
        <v>95</v>
      </c>
      <c r="E16" s="29">
        <v>16.38</v>
      </c>
      <c r="F16" s="25">
        <f t="shared" si="0"/>
        <v>0</v>
      </c>
    </row>
    <row r="17" spans="1:6" x14ac:dyDescent="0.25">
      <c r="A17" s="11" t="s">
        <v>102</v>
      </c>
      <c r="B17" s="7"/>
      <c r="C17" s="22" t="s">
        <v>16</v>
      </c>
      <c r="D17" s="19" t="s">
        <v>95</v>
      </c>
      <c r="E17" s="29">
        <v>29.12</v>
      </c>
      <c r="F17" s="25">
        <f t="shared" si="0"/>
        <v>0</v>
      </c>
    </row>
    <row r="18" spans="1:6" x14ac:dyDescent="0.25">
      <c r="A18" s="11" t="s">
        <v>103</v>
      </c>
      <c r="B18" s="7"/>
      <c r="C18" s="22" t="s">
        <v>17</v>
      </c>
      <c r="D18" s="19" t="s">
        <v>95</v>
      </c>
      <c r="E18" s="29">
        <v>25.48</v>
      </c>
      <c r="F18" s="25">
        <f t="shared" si="0"/>
        <v>0</v>
      </c>
    </row>
    <row r="19" spans="1:6" x14ac:dyDescent="0.25">
      <c r="A19" s="11" t="s">
        <v>104</v>
      </c>
      <c r="B19" s="7">
        <v>1</v>
      </c>
      <c r="C19" s="22" t="s">
        <v>18</v>
      </c>
      <c r="D19" s="19" t="s">
        <v>95</v>
      </c>
      <c r="E19" s="29">
        <v>16.38</v>
      </c>
      <c r="F19" s="25">
        <f t="shared" si="0"/>
        <v>16.38</v>
      </c>
    </row>
    <row r="20" spans="1:6" x14ac:dyDescent="0.25">
      <c r="A20" s="11" t="s">
        <v>105</v>
      </c>
      <c r="B20" s="7"/>
      <c r="C20" s="22" t="s">
        <v>19</v>
      </c>
      <c r="D20" s="19" t="s">
        <v>95</v>
      </c>
      <c r="E20" s="29">
        <v>9.0299999999999994</v>
      </c>
      <c r="F20" s="25">
        <f t="shared" si="0"/>
        <v>0</v>
      </c>
    </row>
    <row r="21" spans="1:6" x14ac:dyDescent="0.25">
      <c r="A21" s="11" t="s">
        <v>106</v>
      </c>
      <c r="B21" s="7"/>
      <c r="C21" s="22" t="s">
        <v>20</v>
      </c>
      <c r="D21" s="19" t="s">
        <v>95</v>
      </c>
      <c r="E21" s="29">
        <v>6.68</v>
      </c>
      <c r="F21" s="25">
        <f t="shared" si="0"/>
        <v>0</v>
      </c>
    </row>
    <row r="22" spans="1:6" x14ac:dyDescent="0.25">
      <c r="A22" s="11" t="s">
        <v>107</v>
      </c>
      <c r="B22" s="7"/>
      <c r="C22" s="22" t="s">
        <v>21</v>
      </c>
      <c r="D22" s="19" t="s">
        <v>95</v>
      </c>
      <c r="E22" s="29">
        <v>9.0299999999999994</v>
      </c>
      <c r="F22" s="25">
        <f t="shared" si="0"/>
        <v>0</v>
      </c>
    </row>
    <row r="23" spans="1:6" x14ac:dyDescent="0.25">
      <c r="A23" s="11" t="s">
        <v>108</v>
      </c>
      <c r="B23" s="7"/>
      <c r="C23" s="22" t="s">
        <v>22</v>
      </c>
      <c r="D23" s="19" t="s">
        <v>95</v>
      </c>
      <c r="E23" s="29">
        <v>16.38</v>
      </c>
      <c r="F23" s="25">
        <f t="shared" si="0"/>
        <v>0</v>
      </c>
    </row>
    <row r="24" spans="1:6" x14ac:dyDescent="0.25">
      <c r="A24" s="11" t="s">
        <v>109</v>
      </c>
      <c r="B24" s="7"/>
      <c r="C24" s="22" t="s">
        <v>23</v>
      </c>
      <c r="D24" s="19" t="s">
        <v>95</v>
      </c>
      <c r="E24" s="29">
        <v>16.38</v>
      </c>
      <c r="F24" s="25">
        <f t="shared" si="0"/>
        <v>0</v>
      </c>
    </row>
    <row r="25" spans="1:6" x14ac:dyDescent="0.25">
      <c r="A25" s="11" t="s">
        <v>110</v>
      </c>
      <c r="B25" s="7"/>
      <c r="C25" s="22" t="s">
        <v>24</v>
      </c>
      <c r="D25" s="19" t="s">
        <v>95</v>
      </c>
      <c r="E25" s="29">
        <v>18.2</v>
      </c>
      <c r="F25" s="25">
        <f t="shared" si="0"/>
        <v>0</v>
      </c>
    </row>
    <row r="26" spans="1:6" x14ac:dyDescent="0.25">
      <c r="A26" s="11" t="s">
        <v>111</v>
      </c>
      <c r="B26" s="7"/>
      <c r="C26" s="22" t="s">
        <v>25</v>
      </c>
      <c r="D26" s="19" t="s">
        <v>95</v>
      </c>
      <c r="E26" s="29">
        <v>18.2</v>
      </c>
      <c r="F26" s="25">
        <f t="shared" si="0"/>
        <v>0</v>
      </c>
    </row>
    <row r="27" spans="1:6" x14ac:dyDescent="0.25">
      <c r="A27" s="11" t="s">
        <v>112</v>
      </c>
      <c r="B27" s="7"/>
      <c r="C27" s="22" t="s">
        <v>26</v>
      </c>
      <c r="D27" s="19" t="s">
        <v>95</v>
      </c>
      <c r="E27" s="29">
        <v>12.8</v>
      </c>
      <c r="F27" s="25">
        <f t="shared" si="0"/>
        <v>0</v>
      </c>
    </row>
    <row r="28" spans="1:6" x14ac:dyDescent="0.25">
      <c r="A28" s="11" t="s">
        <v>113</v>
      </c>
      <c r="B28" s="7"/>
      <c r="C28" s="22" t="s">
        <v>27</v>
      </c>
      <c r="D28" s="19" t="s">
        <v>95</v>
      </c>
      <c r="E28" s="29">
        <v>87.05</v>
      </c>
      <c r="F28" s="25">
        <f t="shared" si="0"/>
        <v>0</v>
      </c>
    </row>
    <row r="29" spans="1:6" x14ac:dyDescent="0.25">
      <c r="A29" s="11" t="s">
        <v>114</v>
      </c>
      <c r="B29" s="7">
        <v>1</v>
      </c>
      <c r="C29" s="22" t="s">
        <v>28</v>
      </c>
      <c r="D29" s="19" t="s">
        <v>95</v>
      </c>
      <c r="E29" s="29">
        <v>45.35</v>
      </c>
      <c r="F29" s="25">
        <f t="shared" si="0"/>
        <v>45.35</v>
      </c>
    </row>
    <row r="30" spans="1:6" x14ac:dyDescent="0.25">
      <c r="A30" s="11" t="s">
        <v>115</v>
      </c>
      <c r="B30" s="7"/>
      <c r="C30" s="22" t="s">
        <v>29</v>
      </c>
      <c r="D30" s="19" t="s">
        <v>95</v>
      </c>
      <c r="E30" s="29">
        <v>69.099999999999994</v>
      </c>
      <c r="F30" s="25">
        <f t="shared" si="0"/>
        <v>0</v>
      </c>
    </row>
    <row r="31" spans="1:6" x14ac:dyDescent="0.25">
      <c r="A31" s="11" t="s">
        <v>116</v>
      </c>
      <c r="B31" s="7"/>
      <c r="C31" s="22" t="s">
        <v>30</v>
      </c>
      <c r="D31" s="19" t="s">
        <v>95</v>
      </c>
      <c r="E31" s="29">
        <v>86.2</v>
      </c>
      <c r="F31" s="25">
        <f t="shared" si="0"/>
        <v>0</v>
      </c>
    </row>
    <row r="32" spans="1:6" x14ac:dyDescent="0.25">
      <c r="A32" s="11" t="s">
        <v>117</v>
      </c>
      <c r="B32" s="7"/>
      <c r="C32" s="22" t="s">
        <v>31</v>
      </c>
      <c r="D32" s="19" t="s">
        <v>95</v>
      </c>
      <c r="E32" s="29">
        <v>59.6</v>
      </c>
      <c r="F32" s="25">
        <f t="shared" si="0"/>
        <v>0</v>
      </c>
    </row>
    <row r="33" spans="1:6" x14ac:dyDescent="0.25">
      <c r="A33" s="11" t="s">
        <v>118</v>
      </c>
      <c r="B33" s="7"/>
      <c r="C33" s="22" t="s">
        <v>32</v>
      </c>
      <c r="D33" s="19" t="s">
        <v>95</v>
      </c>
      <c r="E33" s="29">
        <v>4.47</v>
      </c>
      <c r="F33" s="25">
        <f t="shared" si="0"/>
        <v>0</v>
      </c>
    </row>
    <row r="34" spans="1:6" x14ac:dyDescent="0.25">
      <c r="A34" s="11" t="s">
        <v>119</v>
      </c>
      <c r="B34" s="7"/>
      <c r="C34" s="22" t="s">
        <v>33</v>
      </c>
      <c r="D34" s="19" t="s">
        <v>95</v>
      </c>
      <c r="E34" s="29">
        <v>5.81</v>
      </c>
      <c r="F34" s="25">
        <f t="shared" si="0"/>
        <v>0</v>
      </c>
    </row>
    <row r="35" spans="1:6" x14ac:dyDescent="0.25">
      <c r="A35" s="11" t="s">
        <v>120</v>
      </c>
      <c r="B35" s="7"/>
      <c r="C35" s="22" t="s">
        <v>34</v>
      </c>
      <c r="D35" s="19" t="s">
        <v>95</v>
      </c>
      <c r="E35" s="29">
        <v>10.56</v>
      </c>
      <c r="F35" s="25">
        <f t="shared" si="0"/>
        <v>0</v>
      </c>
    </row>
    <row r="36" spans="1:6" x14ac:dyDescent="0.25">
      <c r="A36" s="11" t="s">
        <v>121</v>
      </c>
      <c r="B36" s="7"/>
      <c r="C36" s="22" t="s">
        <v>35</v>
      </c>
      <c r="D36" s="19" t="s">
        <v>95</v>
      </c>
      <c r="E36" s="29">
        <v>21.84</v>
      </c>
      <c r="F36" s="25">
        <f t="shared" si="0"/>
        <v>0</v>
      </c>
    </row>
    <row r="37" spans="1:6" x14ac:dyDescent="0.25">
      <c r="A37" s="11" t="s">
        <v>122</v>
      </c>
      <c r="B37" s="7"/>
      <c r="C37" s="22" t="s">
        <v>36</v>
      </c>
      <c r="D37" s="19" t="s">
        <v>95</v>
      </c>
      <c r="E37" s="29">
        <v>72.8</v>
      </c>
      <c r="F37" s="25">
        <f t="shared" si="0"/>
        <v>0</v>
      </c>
    </row>
    <row r="38" spans="1:6" x14ac:dyDescent="0.25">
      <c r="A38" s="11" t="s">
        <v>123</v>
      </c>
      <c r="B38" s="7"/>
      <c r="C38" s="22" t="s">
        <v>37</v>
      </c>
      <c r="D38" s="19" t="s">
        <v>95</v>
      </c>
      <c r="E38" s="29">
        <v>111.02</v>
      </c>
      <c r="F38" s="25">
        <f t="shared" si="0"/>
        <v>0</v>
      </c>
    </row>
    <row r="39" spans="1:6" x14ac:dyDescent="0.25">
      <c r="A39" s="11" t="s">
        <v>124</v>
      </c>
      <c r="B39" s="7"/>
      <c r="C39" s="22" t="s">
        <v>38</v>
      </c>
      <c r="D39" s="19" t="s">
        <v>95</v>
      </c>
      <c r="E39" s="29">
        <v>94.64</v>
      </c>
      <c r="F39" s="25">
        <f t="shared" si="0"/>
        <v>0</v>
      </c>
    </row>
    <row r="40" spans="1:6" x14ac:dyDescent="0.25">
      <c r="A40" s="11" t="s">
        <v>125</v>
      </c>
      <c r="B40" s="7"/>
      <c r="C40" s="22" t="s">
        <v>39</v>
      </c>
      <c r="D40" s="19" t="s">
        <v>95</v>
      </c>
      <c r="E40" s="29">
        <v>189.97</v>
      </c>
      <c r="F40" s="25">
        <f t="shared" si="0"/>
        <v>0</v>
      </c>
    </row>
    <row r="41" spans="1:6" x14ac:dyDescent="0.25">
      <c r="A41" s="11" t="s">
        <v>126</v>
      </c>
      <c r="B41" s="7"/>
      <c r="C41" s="22" t="s">
        <v>40</v>
      </c>
      <c r="D41" s="19" t="s">
        <v>95</v>
      </c>
      <c r="E41" s="29">
        <v>161.94</v>
      </c>
      <c r="F41" s="25">
        <f t="shared" si="0"/>
        <v>0</v>
      </c>
    </row>
    <row r="42" spans="1:6" x14ac:dyDescent="0.25">
      <c r="A42" s="11" t="s">
        <v>127</v>
      </c>
      <c r="B42" s="7"/>
      <c r="C42" s="22" t="s">
        <v>41</v>
      </c>
      <c r="D42" s="19" t="s">
        <v>95</v>
      </c>
      <c r="E42" s="29">
        <v>20.02</v>
      </c>
      <c r="F42" s="25">
        <f t="shared" si="0"/>
        <v>0</v>
      </c>
    </row>
    <row r="43" spans="1:6" x14ac:dyDescent="0.25">
      <c r="A43" s="11" t="s">
        <v>128</v>
      </c>
      <c r="B43" s="7"/>
      <c r="C43" s="22" t="s">
        <v>42</v>
      </c>
      <c r="D43" s="19" t="s">
        <v>95</v>
      </c>
      <c r="E43" s="29">
        <v>56.42</v>
      </c>
      <c r="F43" s="25">
        <f t="shared" si="0"/>
        <v>0</v>
      </c>
    </row>
    <row r="44" spans="1:6" x14ac:dyDescent="0.25">
      <c r="A44" s="11" t="s">
        <v>129</v>
      </c>
      <c r="B44" s="7"/>
      <c r="C44" s="22" t="s">
        <v>43</v>
      </c>
      <c r="D44" s="19" t="s">
        <v>95</v>
      </c>
      <c r="E44" s="29">
        <v>78.8</v>
      </c>
      <c r="F44" s="25">
        <f t="shared" si="0"/>
        <v>0</v>
      </c>
    </row>
    <row r="45" spans="1:6" x14ac:dyDescent="0.25">
      <c r="A45" s="11" t="s">
        <v>130</v>
      </c>
      <c r="B45" s="7"/>
      <c r="C45" s="22" t="s">
        <v>44</v>
      </c>
      <c r="D45" s="19" t="s">
        <v>95</v>
      </c>
      <c r="E45" s="29">
        <v>85</v>
      </c>
      <c r="F45" s="25">
        <f t="shared" si="0"/>
        <v>0</v>
      </c>
    </row>
    <row r="46" spans="1:6" x14ac:dyDescent="0.25">
      <c r="A46" s="10" t="s">
        <v>175</v>
      </c>
      <c r="B46" s="41"/>
      <c r="C46" s="21" t="s">
        <v>45</v>
      </c>
      <c r="D46" s="23" t="s">
        <v>9</v>
      </c>
      <c r="E46" s="23" t="s">
        <v>9</v>
      </c>
      <c r="F46" s="24">
        <f>SUM(F47:F54)</f>
        <v>0</v>
      </c>
    </row>
    <row r="47" spans="1:6" x14ac:dyDescent="0.25">
      <c r="A47" s="11" t="s">
        <v>131</v>
      </c>
      <c r="B47" s="7"/>
      <c r="C47" s="22" t="s">
        <v>46</v>
      </c>
      <c r="D47" s="19" t="s">
        <v>95</v>
      </c>
      <c r="E47" s="29">
        <v>54</v>
      </c>
      <c r="F47" s="25">
        <f t="shared" ref="F47:F54" si="1">B47*E47</f>
        <v>0</v>
      </c>
    </row>
    <row r="48" spans="1:6" x14ac:dyDescent="0.25">
      <c r="A48" s="11" t="s">
        <v>132</v>
      </c>
      <c r="B48" s="7"/>
      <c r="C48" s="22" t="s">
        <v>47</v>
      </c>
      <c r="D48" s="19" t="s">
        <v>95</v>
      </c>
      <c r="E48" s="29">
        <v>69</v>
      </c>
      <c r="F48" s="25">
        <f>B48*E48</f>
        <v>0</v>
      </c>
    </row>
    <row r="49" spans="1:6" x14ac:dyDescent="0.25">
      <c r="A49" s="11" t="s">
        <v>133</v>
      </c>
      <c r="B49" s="7"/>
      <c r="C49" s="22" t="s">
        <v>48</v>
      </c>
      <c r="D49" s="19" t="s">
        <v>95</v>
      </c>
      <c r="E49" s="29">
        <v>12</v>
      </c>
      <c r="F49" s="25">
        <f t="shared" si="1"/>
        <v>0</v>
      </c>
    </row>
    <row r="50" spans="1:6" x14ac:dyDescent="0.25">
      <c r="A50" s="11" t="s">
        <v>134</v>
      </c>
      <c r="B50" s="7"/>
      <c r="C50" s="22" t="s">
        <v>49</v>
      </c>
      <c r="D50" s="19" t="s">
        <v>95</v>
      </c>
      <c r="E50" s="29">
        <v>69</v>
      </c>
      <c r="F50" s="25">
        <f t="shared" si="1"/>
        <v>0</v>
      </c>
    </row>
    <row r="51" spans="1:6" x14ac:dyDescent="0.25">
      <c r="A51" s="11" t="s">
        <v>135</v>
      </c>
      <c r="B51" s="7"/>
      <c r="C51" s="22" t="s">
        <v>50</v>
      </c>
      <c r="D51" s="19" t="s">
        <v>95</v>
      </c>
      <c r="E51" s="29">
        <v>89</v>
      </c>
      <c r="F51" s="25">
        <f t="shared" si="1"/>
        <v>0</v>
      </c>
    </row>
    <row r="52" spans="1:6" x14ac:dyDescent="0.25">
      <c r="A52" s="11" t="s">
        <v>136</v>
      </c>
      <c r="B52" s="7"/>
      <c r="C52" s="22" t="s">
        <v>51</v>
      </c>
      <c r="D52" s="19" t="s">
        <v>95</v>
      </c>
      <c r="E52" s="29">
        <v>124</v>
      </c>
      <c r="F52" s="25">
        <f t="shared" si="1"/>
        <v>0</v>
      </c>
    </row>
    <row r="53" spans="1:6" x14ac:dyDescent="0.25">
      <c r="A53" s="11" t="s">
        <v>137</v>
      </c>
      <c r="B53" s="7"/>
      <c r="C53" s="22" t="s">
        <v>52</v>
      </c>
      <c r="D53" s="19" t="s">
        <v>95</v>
      </c>
      <c r="E53" s="29">
        <v>15.23</v>
      </c>
      <c r="F53" s="25">
        <f t="shared" si="1"/>
        <v>0</v>
      </c>
    </row>
    <row r="54" spans="1:6" x14ac:dyDescent="0.25">
      <c r="A54" s="11" t="s">
        <v>138</v>
      </c>
      <c r="B54" s="7"/>
      <c r="C54" s="22" t="s">
        <v>53</v>
      </c>
      <c r="D54" s="19" t="s">
        <v>95</v>
      </c>
      <c r="E54" s="29">
        <v>15.23</v>
      </c>
      <c r="F54" s="25">
        <f t="shared" si="1"/>
        <v>0</v>
      </c>
    </row>
    <row r="55" spans="1:6" x14ac:dyDescent="0.25">
      <c r="A55" s="10" t="s">
        <v>176</v>
      </c>
      <c r="B55" s="41"/>
      <c r="C55" s="21" t="s">
        <v>54</v>
      </c>
      <c r="D55" s="23" t="s">
        <v>9</v>
      </c>
      <c r="E55" s="23" t="s">
        <v>9</v>
      </c>
      <c r="F55" s="24">
        <f>SUM(F56:F66)</f>
        <v>0</v>
      </c>
    </row>
    <row r="56" spans="1:6" x14ac:dyDescent="0.25">
      <c r="A56" s="11" t="s">
        <v>139</v>
      </c>
      <c r="B56" s="7"/>
      <c r="C56" s="22" t="s">
        <v>55</v>
      </c>
      <c r="D56" s="19" t="s">
        <v>95</v>
      </c>
      <c r="E56" s="29">
        <v>29.9</v>
      </c>
      <c r="F56" s="25">
        <f t="shared" ref="F56:F66" si="2">B56*E56</f>
        <v>0</v>
      </c>
    </row>
    <row r="57" spans="1:6" x14ac:dyDescent="0.25">
      <c r="A57" s="11" t="s">
        <v>140</v>
      </c>
      <c r="B57" s="7"/>
      <c r="C57" s="22" t="s">
        <v>56</v>
      </c>
      <c r="D57" s="19" t="s">
        <v>95</v>
      </c>
      <c r="E57" s="29">
        <v>29.9</v>
      </c>
      <c r="F57" s="25">
        <f t="shared" si="2"/>
        <v>0</v>
      </c>
    </row>
    <row r="58" spans="1:6" x14ac:dyDescent="0.25">
      <c r="A58" s="11" t="s">
        <v>141</v>
      </c>
      <c r="B58" s="7"/>
      <c r="C58" s="22" t="s">
        <v>57</v>
      </c>
      <c r="D58" s="19" t="s">
        <v>95</v>
      </c>
      <c r="E58" s="29">
        <v>29.9</v>
      </c>
      <c r="F58" s="25">
        <f t="shared" si="2"/>
        <v>0</v>
      </c>
    </row>
    <row r="59" spans="1:6" x14ac:dyDescent="0.25">
      <c r="A59" s="11" t="s">
        <v>142</v>
      </c>
      <c r="B59" s="7"/>
      <c r="C59" s="22" t="s">
        <v>58</v>
      </c>
      <c r="D59" s="19" t="s">
        <v>95</v>
      </c>
      <c r="E59" s="29">
        <v>29.9</v>
      </c>
      <c r="F59" s="25">
        <f t="shared" si="2"/>
        <v>0</v>
      </c>
    </row>
    <row r="60" spans="1:6" x14ac:dyDescent="0.25">
      <c r="A60" s="11" t="s">
        <v>143</v>
      </c>
      <c r="B60" s="7"/>
      <c r="C60" s="22" t="s">
        <v>59</v>
      </c>
      <c r="D60" s="19" t="s">
        <v>95</v>
      </c>
      <c r="E60" s="29">
        <v>29.9</v>
      </c>
      <c r="F60" s="25">
        <f t="shared" si="2"/>
        <v>0</v>
      </c>
    </row>
    <row r="61" spans="1:6" x14ac:dyDescent="0.25">
      <c r="A61" s="11" t="s">
        <v>144</v>
      </c>
      <c r="B61" s="7"/>
      <c r="C61" s="22" t="s">
        <v>60</v>
      </c>
      <c r="D61" s="19" t="s">
        <v>95</v>
      </c>
      <c r="E61" s="29">
        <v>29.9</v>
      </c>
      <c r="F61" s="25">
        <f t="shared" si="2"/>
        <v>0</v>
      </c>
    </row>
    <row r="62" spans="1:6" x14ac:dyDescent="0.25">
      <c r="A62" s="11" t="s">
        <v>145</v>
      </c>
      <c r="B62" s="7"/>
      <c r="C62" s="22" t="s">
        <v>61</v>
      </c>
      <c r="D62" s="19" t="s">
        <v>95</v>
      </c>
      <c r="E62" s="29">
        <v>29.9</v>
      </c>
      <c r="F62" s="25">
        <f t="shared" si="2"/>
        <v>0</v>
      </c>
    </row>
    <row r="63" spans="1:6" x14ac:dyDescent="0.25">
      <c r="A63" s="11" t="s">
        <v>146</v>
      </c>
      <c r="B63" s="7"/>
      <c r="C63" s="22" t="s">
        <v>62</v>
      </c>
      <c r="D63" s="19" t="s">
        <v>95</v>
      </c>
      <c r="E63" s="29">
        <v>17.86</v>
      </c>
      <c r="F63" s="25">
        <f t="shared" si="2"/>
        <v>0</v>
      </c>
    </row>
    <row r="64" spans="1:6" x14ac:dyDescent="0.25">
      <c r="A64" s="11" t="s">
        <v>147</v>
      </c>
      <c r="B64" s="7"/>
      <c r="C64" s="22" t="s">
        <v>63</v>
      </c>
      <c r="D64" s="19" t="s">
        <v>95</v>
      </c>
      <c r="E64" s="29">
        <v>22.14</v>
      </c>
      <c r="F64" s="25">
        <f t="shared" si="2"/>
        <v>0</v>
      </c>
    </row>
    <row r="65" spans="1:6" x14ac:dyDescent="0.25">
      <c r="A65" s="11" t="s">
        <v>148</v>
      </c>
      <c r="B65" s="7"/>
      <c r="C65" s="22" t="s">
        <v>64</v>
      </c>
      <c r="D65" s="19" t="s">
        <v>95</v>
      </c>
      <c r="E65" s="29">
        <v>12.86</v>
      </c>
      <c r="F65" s="25">
        <f t="shared" si="2"/>
        <v>0</v>
      </c>
    </row>
    <row r="66" spans="1:6" x14ac:dyDescent="0.25">
      <c r="A66" s="11" t="s">
        <v>149</v>
      </c>
      <c r="B66" s="7"/>
      <c r="C66" s="22" t="s">
        <v>65</v>
      </c>
      <c r="D66" s="19" t="s">
        <v>95</v>
      </c>
      <c r="E66" s="29">
        <v>12.86</v>
      </c>
      <c r="F66" s="25">
        <f t="shared" si="2"/>
        <v>0</v>
      </c>
    </row>
    <row r="67" spans="1:6" x14ac:dyDescent="0.25">
      <c r="A67" s="10" t="s">
        <v>177</v>
      </c>
      <c r="B67" s="41"/>
      <c r="C67" s="21" t="s">
        <v>66</v>
      </c>
      <c r="D67" s="23" t="s">
        <v>9</v>
      </c>
      <c r="E67" s="23" t="s">
        <v>9</v>
      </c>
      <c r="F67" s="24">
        <f>SUM(F68:F76)</f>
        <v>0</v>
      </c>
    </row>
    <row r="68" spans="1:6" x14ac:dyDescent="0.25">
      <c r="A68" s="11" t="s">
        <v>151</v>
      </c>
      <c r="B68" s="7"/>
      <c r="C68" s="22" t="s">
        <v>67</v>
      </c>
      <c r="D68" s="19" t="s">
        <v>150</v>
      </c>
      <c r="E68" s="29">
        <v>32</v>
      </c>
      <c r="F68" s="25">
        <f t="shared" ref="F68:F76" si="3">B68*E68</f>
        <v>0</v>
      </c>
    </row>
    <row r="69" spans="1:6" x14ac:dyDescent="0.25">
      <c r="A69" s="11" t="s">
        <v>152</v>
      </c>
      <c r="B69" s="7"/>
      <c r="C69" s="22" t="s">
        <v>68</v>
      </c>
      <c r="D69" s="19" t="s">
        <v>150</v>
      </c>
      <c r="E69" s="29">
        <v>44</v>
      </c>
      <c r="F69" s="25">
        <f t="shared" si="3"/>
        <v>0</v>
      </c>
    </row>
    <row r="70" spans="1:6" x14ac:dyDescent="0.25">
      <c r="A70" s="11" t="s">
        <v>153</v>
      </c>
      <c r="B70" s="7"/>
      <c r="C70" s="22" t="s">
        <v>69</v>
      </c>
      <c r="D70" s="19" t="s">
        <v>150</v>
      </c>
      <c r="E70" s="29">
        <v>52</v>
      </c>
      <c r="F70" s="25">
        <f t="shared" si="3"/>
        <v>0</v>
      </c>
    </row>
    <row r="71" spans="1:6" x14ac:dyDescent="0.25">
      <c r="A71" s="11" t="s">
        <v>154</v>
      </c>
      <c r="B71" s="7"/>
      <c r="C71" s="22" t="s">
        <v>70</v>
      </c>
      <c r="D71" s="19" t="s">
        <v>150</v>
      </c>
      <c r="E71" s="29">
        <v>32</v>
      </c>
      <c r="F71" s="25">
        <f t="shared" si="3"/>
        <v>0</v>
      </c>
    </row>
    <row r="72" spans="1:6" x14ac:dyDescent="0.25">
      <c r="A72" s="11" t="s">
        <v>155</v>
      </c>
      <c r="B72" s="7"/>
      <c r="C72" s="22" t="s">
        <v>71</v>
      </c>
      <c r="D72" s="19" t="s">
        <v>150</v>
      </c>
      <c r="E72" s="29">
        <v>44</v>
      </c>
      <c r="F72" s="25">
        <f t="shared" si="3"/>
        <v>0</v>
      </c>
    </row>
    <row r="73" spans="1:6" x14ac:dyDescent="0.25">
      <c r="A73" s="11" t="s">
        <v>156</v>
      </c>
      <c r="B73" s="7"/>
      <c r="C73" s="22" t="s">
        <v>72</v>
      </c>
      <c r="D73" s="19" t="s">
        <v>150</v>
      </c>
      <c r="E73" s="29">
        <v>52</v>
      </c>
      <c r="F73" s="25">
        <f t="shared" si="3"/>
        <v>0</v>
      </c>
    </row>
    <row r="74" spans="1:6" x14ac:dyDescent="0.25">
      <c r="A74" s="11" t="s">
        <v>157</v>
      </c>
      <c r="B74" s="7"/>
      <c r="C74" s="22" t="s">
        <v>73</v>
      </c>
      <c r="D74" s="19" t="s">
        <v>150</v>
      </c>
      <c r="E74" s="29">
        <v>12.8</v>
      </c>
      <c r="F74" s="25">
        <f t="shared" si="3"/>
        <v>0</v>
      </c>
    </row>
    <row r="75" spans="1:6" x14ac:dyDescent="0.25">
      <c r="A75" s="11" t="s">
        <v>158</v>
      </c>
      <c r="B75" s="7"/>
      <c r="C75" s="22" t="s">
        <v>74</v>
      </c>
      <c r="D75" s="19" t="s">
        <v>150</v>
      </c>
      <c r="E75" s="29">
        <v>17.600000000000001</v>
      </c>
      <c r="F75" s="25">
        <f t="shared" si="3"/>
        <v>0</v>
      </c>
    </row>
    <row r="76" spans="1:6" x14ac:dyDescent="0.25">
      <c r="A76" s="11" t="s">
        <v>159</v>
      </c>
      <c r="B76" s="7"/>
      <c r="C76" s="22" t="s">
        <v>75</v>
      </c>
      <c r="D76" s="19" t="s">
        <v>150</v>
      </c>
      <c r="E76" s="29">
        <v>20.8</v>
      </c>
      <c r="F76" s="25">
        <f t="shared" si="3"/>
        <v>0</v>
      </c>
    </row>
    <row r="77" spans="1:6" x14ac:dyDescent="0.25">
      <c r="A77" s="10" t="s">
        <v>178</v>
      </c>
      <c r="B77" s="41"/>
      <c r="C77" s="21" t="s">
        <v>76</v>
      </c>
      <c r="D77" s="23" t="s">
        <v>9</v>
      </c>
      <c r="E77" s="23" t="s">
        <v>9</v>
      </c>
      <c r="F77" s="24">
        <f>SUM(F78:F81)</f>
        <v>0</v>
      </c>
    </row>
    <row r="78" spans="1:6" x14ac:dyDescent="0.25">
      <c r="A78" s="11" t="s">
        <v>160</v>
      </c>
      <c r="B78" s="7"/>
      <c r="C78" s="22" t="s">
        <v>77</v>
      </c>
      <c r="D78" s="19" t="s">
        <v>95</v>
      </c>
      <c r="E78" s="29">
        <v>200.97</v>
      </c>
      <c r="F78" s="25">
        <f>B78*E78</f>
        <v>0</v>
      </c>
    </row>
    <row r="79" spans="1:6" x14ac:dyDescent="0.25">
      <c r="A79" s="11" t="s">
        <v>161</v>
      </c>
      <c r="B79" s="7"/>
      <c r="C79" s="22" t="s">
        <v>78</v>
      </c>
      <c r="D79" s="19" t="s">
        <v>95</v>
      </c>
      <c r="E79" s="29">
        <v>219.51</v>
      </c>
      <c r="F79" s="25">
        <f>B79*E79</f>
        <v>0</v>
      </c>
    </row>
    <row r="80" spans="1:6" x14ac:dyDescent="0.25">
      <c r="A80" s="11" t="s">
        <v>162</v>
      </c>
      <c r="B80" s="7"/>
      <c r="C80" s="22" t="s">
        <v>79</v>
      </c>
      <c r="D80" s="19" t="s">
        <v>95</v>
      </c>
      <c r="E80" s="29">
        <v>226.65</v>
      </c>
      <c r="F80" s="25">
        <f>B80*E80</f>
        <v>0</v>
      </c>
    </row>
    <row r="81" spans="1:6" x14ac:dyDescent="0.25">
      <c r="A81" s="11" t="s">
        <v>163</v>
      </c>
      <c r="B81" s="7"/>
      <c r="C81" s="22" t="s">
        <v>80</v>
      </c>
      <c r="D81" s="19" t="s">
        <v>95</v>
      </c>
      <c r="E81" s="29">
        <v>254.09</v>
      </c>
      <c r="F81" s="25">
        <f>B81*E81</f>
        <v>0</v>
      </c>
    </row>
    <row r="82" spans="1:6" x14ac:dyDescent="0.25">
      <c r="A82" s="10" t="s">
        <v>179</v>
      </c>
      <c r="B82" s="41"/>
      <c r="C82" s="21" t="s">
        <v>81</v>
      </c>
      <c r="D82" s="23" t="s">
        <v>9</v>
      </c>
      <c r="E82" s="23" t="s">
        <v>9</v>
      </c>
      <c r="F82" s="24">
        <f>SUM(F83:F87)</f>
        <v>6.3584000000000005</v>
      </c>
    </row>
    <row r="83" spans="1:6" x14ac:dyDescent="0.25">
      <c r="A83" s="11" t="s">
        <v>164</v>
      </c>
      <c r="B83" s="42">
        <f>F98</f>
        <v>1.07</v>
      </c>
      <c r="C83" s="22" t="s">
        <v>82</v>
      </c>
      <c r="D83" s="19" t="s">
        <v>165</v>
      </c>
      <c r="E83" s="30">
        <v>0.12</v>
      </c>
      <c r="F83" s="25">
        <f>B83*E83</f>
        <v>0.12840000000000001</v>
      </c>
    </row>
    <row r="84" spans="1:6" x14ac:dyDescent="0.25">
      <c r="A84" s="11" t="s">
        <v>166</v>
      </c>
      <c r="B84" s="7">
        <v>1</v>
      </c>
      <c r="C84" s="22" t="s">
        <v>83</v>
      </c>
      <c r="D84" s="19" t="s">
        <v>95</v>
      </c>
      <c r="E84" s="29">
        <v>6.23</v>
      </c>
      <c r="F84" s="25">
        <f>B84*E84</f>
        <v>6.23</v>
      </c>
    </row>
    <row r="85" spans="1:6" x14ac:dyDescent="0.25">
      <c r="A85" s="11" t="s">
        <v>167</v>
      </c>
      <c r="B85" s="7"/>
      <c r="C85" s="22" t="s">
        <v>84</v>
      </c>
      <c r="D85" s="19" t="s">
        <v>95</v>
      </c>
      <c r="E85" s="29">
        <v>26.2</v>
      </c>
      <c r="F85" s="25">
        <f>B85*E85</f>
        <v>0</v>
      </c>
    </row>
    <row r="86" spans="1:6" x14ac:dyDescent="0.25">
      <c r="A86" s="11" t="s">
        <v>168</v>
      </c>
      <c r="B86" s="7"/>
      <c r="C86" s="22" t="s">
        <v>85</v>
      </c>
      <c r="D86" s="19" t="s">
        <v>95</v>
      </c>
      <c r="E86" s="29">
        <v>27</v>
      </c>
      <c r="F86" s="25">
        <f>B86*E86</f>
        <v>0</v>
      </c>
    </row>
    <row r="87" spans="1:6" ht="15.75" thickBot="1" x14ac:dyDescent="0.3">
      <c r="A87" s="11" t="s">
        <v>169</v>
      </c>
      <c r="B87" s="7"/>
      <c r="C87" s="22" t="s">
        <v>86</v>
      </c>
      <c r="D87" s="19" t="s">
        <v>150</v>
      </c>
      <c r="E87" s="29">
        <v>32</v>
      </c>
      <c r="F87" s="43">
        <f>B87*E87</f>
        <v>0</v>
      </c>
    </row>
    <row r="88" spans="1:6" ht="15.75" x14ac:dyDescent="0.25">
      <c r="A88" s="12"/>
      <c r="B88" s="44"/>
      <c r="E88" s="14" t="s">
        <v>87</v>
      </c>
      <c r="F88" s="45">
        <f>F82+F77+F67+F55+F46+F11</f>
        <v>68.088400000000007</v>
      </c>
    </row>
    <row r="89" spans="1:6" x14ac:dyDescent="0.25">
      <c r="A89" s="12"/>
      <c r="F89" s="26"/>
    </row>
    <row r="90" spans="1:6" x14ac:dyDescent="0.25">
      <c r="A90" s="12"/>
      <c r="F90" s="26"/>
    </row>
    <row r="91" spans="1:6" x14ac:dyDescent="0.25">
      <c r="A91" s="13" t="s">
        <v>90</v>
      </c>
      <c r="B91" s="39" t="s">
        <v>91</v>
      </c>
      <c r="C91" s="16" t="s">
        <v>92</v>
      </c>
      <c r="D91" s="17" t="s">
        <v>93</v>
      </c>
      <c r="E91" s="18" t="s">
        <v>6</v>
      </c>
      <c r="F91" s="27" t="s">
        <v>94</v>
      </c>
    </row>
    <row r="92" spans="1:6" ht="15" customHeight="1" x14ac:dyDescent="0.25">
      <c r="A92" s="46" t="s">
        <v>180</v>
      </c>
      <c r="B92" s="47">
        <v>1</v>
      </c>
      <c r="C92" s="4" t="s">
        <v>193</v>
      </c>
      <c r="D92" s="2" t="s">
        <v>95</v>
      </c>
      <c r="E92" s="3">
        <v>0.89</v>
      </c>
      <c r="F92" s="25">
        <f t="shared" ref="F92:F97" si="4">B92*E92</f>
        <v>0.89</v>
      </c>
    </row>
    <row r="93" spans="1:6" x14ac:dyDescent="0.25">
      <c r="A93" s="46" t="s">
        <v>180</v>
      </c>
      <c r="B93" s="47">
        <v>1</v>
      </c>
      <c r="C93" s="4" t="s">
        <v>217</v>
      </c>
      <c r="D93" s="2" t="s">
        <v>95</v>
      </c>
      <c r="E93" s="3">
        <v>0.18</v>
      </c>
      <c r="F93" s="25">
        <f t="shared" si="4"/>
        <v>0.18</v>
      </c>
    </row>
    <row r="94" spans="1:6" hidden="1" x14ac:dyDescent="0.25">
      <c r="A94" s="46" t="s">
        <v>180</v>
      </c>
      <c r="B94" s="47"/>
      <c r="C94" s="4" t="s">
        <v>195</v>
      </c>
      <c r="D94" s="2" t="s">
        <v>95</v>
      </c>
      <c r="E94" s="3">
        <v>0.24</v>
      </c>
      <c r="F94" s="25">
        <f t="shared" si="4"/>
        <v>0</v>
      </c>
    </row>
    <row r="95" spans="1:6" hidden="1" x14ac:dyDescent="0.25">
      <c r="A95" s="46" t="s">
        <v>180</v>
      </c>
      <c r="B95" s="47"/>
      <c r="C95" s="4" t="s">
        <v>209</v>
      </c>
      <c r="D95" s="2" t="s">
        <v>95</v>
      </c>
      <c r="E95" s="3">
        <v>0.54</v>
      </c>
      <c r="F95" s="25">
        <f t="shared" si="4"/>
        <v>0</v>
      </c>
    </row>
    <row r="96" spans="1:6" hidden="1" x14ac:dyDescent="0.25">
      <c r="A96" s="46" t="s">
        <v>180</v>
      </c>
      <c r="B96" s="47"/>
      <c r="C96" s="4" t="s">
        <v>205</v>
      </c>
      <c r="D96" s="2" t="s">
        <v>95</v>
      </c>
      <c r="E96" s="3">
        <v>0.39</v>
      </c>
      <c r="F96" s="25">
        <f t="shared" si="4"/>
        <v>0</v>
      </c>
    </row>
    <row r="97" spans="1:6" ht="26.25" hidden="1" x14ac:dyDescent="0.25">
      <c r="A97" s="46" t="s">
        <v>180</v>
      </c>
      <c r="B97" s="47"/>
      <c r="C97" s="53" t="s">
        <v>189</v>
      </c>
      <c r="D97" s="2" t="s">
        <v>95</v>
      </c>
      <c r="E97" s="3">
        <v>11.31</v>
      </c>
      <c r="F97" s="25">
        <f t="shared" si="4"/>
        <v>0</v>
      </c>
    </row>
    <row r="98" spans="1:6" ht="15.75" x14ac:dyDescent="0.25">
      <c r="E98" s="14" t="s">
        <v>88</v>
      </c>
      <c r="F98" s="48">
        <f>F92+F94+F93+F95+F96+F97</f>
        <v>1.07</v>
      </c>
    </row>
    <row r="99" spans="1:6" x14ac:dyDescent="0.25">
      <c r="F99" s="28"/>
    </row>
    <row r="100" spans="1:6" ht="15.75" x14ac:dyDescent="0.25">
      <c r="A100" s="55" t="s">
        <v>170</v>
      </c>
      <c r="B100" s="55"/>
      <c r="E100" s="14" t="s">
        <v>89</v>
      </c>
      <c r="F100" s="48">
        <f>F98+F88</f>
        <v>69.1584</v>
      </c>
    </row>
    <row r="101" spans="1:6" x14ac:dyDescent="0.25">
      <c r="A101" s="56"/>
      <c r="B101" s="57"/>
      <c r="C101" s="58"/>
    </row>
    <row r="102" spans="1:6" x14ac:dyDescent="0.25">
      <c r="A102" s="59"/>
      <c r="B102" s="60"/>
      <c r="C102" s="61"/>
    </row>
    <row r="103" spans="1:6" x14ac:dyDescent="0.25">
      <c r="A103" s="59"/>
      <c r="B103" s="60"/>
      <c r="C103" s="61"/>
    </row>
    <row r="104" spans="1:6" x14ac:dyDescent="0.25">
      <c r="A104" s="59"/>
      <c r="B104" s="60"/>
      <c r="C104" s="61"/>
    </row>
    <row r="105" spans="1:6" ht="15.75" thickBot="1" x14ac:dyDescent="0.3">
      <c r="A105" s="62"/>
      <c r="B105" s="63"/>
      <c r="C105" s="64"/>
      <c r="E105" s="8"/>
      <c r="F105" s="8"/>
    </row>
    <row r="106" spans="1:6" ht="15.75" x14ac:dyDescent="0.25">
      <c r="E106" s="65" t="s">
        <v>171</v>
      </c>
      <c r="F106" s="65"/>
    </row>
  </sheetData>
  <autoFilter ref="A9:F88"/>
  <mergeCells count="3">
    <mergeCell ref="A100:B100"/>
    <mergeCell ref="A101:C105"/>
    <mergeCell ref="E106:F106"/>
  </mergeCells>
  <pageMargins left="0.7" right="0.7" top="0.78740157499999996" bottom="0.78740157499999996" header="0.3" footer="0.3"/>
  <pageSetup paperSize="9" scale="77"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election activeCell="B16" sqref="B16"/>
    </sheetView>
  </sheetViews>
  <sheetFormatPr baseColWidth="10" defaultRowHeight="15" x14ac:dyDescent="0.25"/>
  <cols>
    <col min="1" max="1" width="87.85546875" bestFit="1" customWidth="1"/>
    <col min="2" max="2" width="10.140625" bestFit="1" customWidth="1"/>
    <col min="3" max="3" width="14.85546875" bestFit="1" customWidth="1"/>
    <col min="4" max="4" width="8.140625" bestFit="1" customWidth="1"/>
    <col min="5" max="5" width="9.85546875" bestFit="1" customWidth="1"/>
    <col min="6" max="6" width="41.140625" bestFit="1" customWidth="1"/>
    <col min="8" max="9" width="4.7109375" bestFit="1" customWidth="1"/>
  </cols>
  <sheetData>
    <row r="1" spans="1:6" x14ac:dyDescent="0.25">
      <c r="A1" t="s">
        <v>181</v>
      </c>
      <c r="B1" t="s">
        <v>182</v>
      </c>
      <c r="C1" t="s">
        <v>183</v>
      </c>
      <c r="D1" t="s">
        <v>91</v>
      </c>
      <c r="E1" t="s">
        <v>184</v>
      </c>
      <c r="F1" t="s">
        <v>185</v>
      </c>
    </row>
    <row r="2" spans="1:6" ht="30" x14ac:dyDescent="0.25">
      <c r="A2" s="50" t="s">
        <v>186</v>
      </c>
      <c r="B2">
        <v>15.76</v>
      </c>
      <c r="C2" t="s">
        <v>187</v>
      </c>
      <c r="D2">
        <v>-5</v>
      </c>
      <c r="E2">
        <v>-78.8</v>
      </c>
      <c r="F2" t="s">
        <v>188</v>
      </c>
    </row>
    <row r="3" spans="1:6" ht="30" x14ac:dyDescent="0.25">
      <c r="A3" s="50" t="s">
        <v>189</v>
      </c>
      <c r="B3">
        <v>11.31</v>
      </c>
      <c r="C3" t="s">
        <v>190</v>
      </c>
      <c r="D3">
        <v>0</v>
      </c>
      <c r="E3">
        <v>0</v>
      </c>
      <c r="F3" t="s">
        <v>188</v>
      </c>
    </row>
    <row r="4" spans="1:6" x14ac:dyDescent="0.25">
      <c r="A4" t="s">
        <v>191</v>
      </c>
      <c r="B4">
        <v>0.64</v>
      </c>
      <c r="C4" t="s">
        <v>192</v>
      </c>
      <c r="D4" s="51">
        <v>1206</v>
      </c>
      <c r="E4">
        <v>771.62</v>
      </c>
      <c r="F4" t="s">
        <v>188</v>
      </c>
    </row>
    <row r="5" spans="1:6" x14ac:dyDescent="0.25">
      <c r="A5" s="52" t="s">
        <v>193</v>
      </c>
      <c r="B5">
        <v>0.87</v>
      </c>
      <c r="C5" t="s">
        <v>194</v>
      </c>
      <c r="D5" s="51">
        <v>2343</v>
      </c>
      <c r="E5" s="51">
        <v>2028.1</v>
      </c>
      <c r="F5" t="s">
        <v>188</v>
      </c>
    </row>
    <row r="6" spans="1:6" x14ac:dyDescent="0.25">
      <c r="A6" t="s">
        <v>195</v>
      </c>
      <c r="B6">
        <v>0.24</v>
      </c>
      <c r="C6" t="s">
        <v>196</v>
      </c>
      <c r="D6" s="51">
        <v>7087</v>
      </c>
      <c r="E6" s="51">
        <v>1700.88</v>
      </c>
      <c r="F6" t="s">
        <v>188</v>
      </c>
    </row>
    <row r="7" spans="1:6" x14ac:dyDescent="0.25">
      <c r="A7" t="s">
        <v>197</v>
      </c>
      <c r="B7">
        <v>0.14000000000000001</v>
      </c>
      <c r="C7" t="s">
        <v>198</v>
      </c>
      <c r="D7">
        <v>-18</v>
      </c>
      <c r="E7">
        <v>-2.5499999999999998</v>
      </c>
      <c r="F7" t="s">
        <v>188</v>
      </c>
    </row>
    <row r="8" spans="1:6" x14ac:dyDescent="0.25">
      <c r="A8" t="s">
        <v>199</v>
      </c>
      <c r="B8">
        <v>0.72</v>
      </c>
      <c r="C8" t="s">
        <v>200</v>
      </c>
      <c r="D8">
        <v>566</v>
      </c>
      <c r="E8">
        <v>408.78</v>
      </c>
      <c r="F8" t="s">
        <v>188</v>
      </c>
    </row>
    <row r="9" spans="1:6" x14ac:dyDescent="0.25">
      <c r="A9" t="s">
        <v>201</v>
      </c>
      <c r="B9">
        <v>0.25</v>
      </c>
      <c r="C9" t="s">
        <v>202</v>
      </c>
      <c r="D9">
        <v>-150</v>
      </c>
      <c r="E9">
        <v>-37.409999999999997</v>
      </c>
      <c r="F9" t="s">
        <v>188</v>
      </c>
    </row>
    <row r="10" spans="1:6" x14ac:dyDescent="0.25">
      <c r="A10" t="s">
        <v>203</v>
      </c>
      <c r="B10">
        <v>0.12</v>
      </c>
      <c r="C10" t="s">
        <v>204</v>
      </c>
      <c r="D10" s="51">
        <v>4612</v>
      </c>
      <c r="E10">
        <v>569.58000000000004</v>
      </c>
      <c r="F10" t="s">
        <v>188</v>
      </c>
    </row>
    <row r="11" spans="1:6" x14ac:dyDescent="0.25">
      <c r="A11" t="s">
        <v>205</v>
      </c>
      <c r="B11">
        <v>0.39</v>
      </c>
      <c r="C11" t="s">
        <v>206</v>
      </c>
      <c r="D11" s="51">
        <v>1951</v>
      </c>
      <c r="E11">
        <v>757.72</v>
      </c>
      <c r="F11" t="s">
        <v>188</v>
      </c>
    </row>
    <row r="12" spans="1:6" x14ac:dyDescent="0.25">
      <c r="A12" t="s">
        <v>207</v>
      </c>
      <c r="B12">
        <v>0.19</v>
      </c>
      <c r="C12" t="s">
        <v>208</v>
      </c>
      <c r="D12">
        <v>0</v>
      </c>
      <c r="E12">
        <v>0</v>
      </c>
      <c r="F12" t="s">
        <v>188</v>
      </c>
    </row>
    <row r="13" spans="1:6" x14ac:dyDescent="0.25">
      <c r="A13" t="s">
        <v>209</v>
      </c>
      <c r="B13">
        <v>0.54</v>
      </c>
      <c r="C13" t="s">
        <v>210</v>
      </c>
      <c r="D13" s="51">
        <v>1000</v>
      </c>
      <c r="E13">
        <v>542.20000000000005</v>
      </c>
      <c r="F13" t="s">
        <v>188</v>
      </c>
    </row>
    <row r="14" spans="1:6" ht="30" x14ac:dyDescent="0.25">
      <c r="A14" s="50" t="s">
        <v>211</v>
      </c>
      <c r="B14">
        <v>13.57</v>
      </c>
      <c r="C14" t="s">
        <v>212</v>
      </c>
      <c r="D14">
        <v>0</v>
      </c>
      <c r="E14">
        <v>0</v>
      </c>
      <c r="F14" t="s">
        <v>188</v>
      </c>
    </row>
    <row r="15" spans="1:6" ht="30" x14ac:dyDescent="0.25">
      <c r="A15" s="50" t="s">
        <v>213</v>
      </c>
      <c r="B15">
        <v>12.9</v>
      </c>
      <c r="C15" t="s">
        <v>214</v>
      </c>
      <c r="D15">
        <v>0</v>
      </c>
      <c r="E15">
        <v>0</v>
      </c>
      <c r="F15" t="s">
        <v>188</v>
      </c>
    </row>
    <row r="16" spans="1:6" x14ac:dyDescent="0.25">
      <c r="A16" t="s">
        <v>215</v>
      </c>
      <c r="B16">
        <v>0.39</v>
      </c>
      <c r="C16" t="s">
        <v>216</v>
      </c>
      <c r="D16" s="51">
        <v>3768</v>
      </c>
      <c r="E16" s="51">
        <v>1463.4</v>
      </c>
      <c r="F16" t="s">
        <v>188</v>
      </c>
    </row>
  </sheetData>
  <pageMargins left="0.7" right="0.7" top="0.78740157499999996" bottom="0.78740157499999996"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53E8AC4-D808-4CAA-9520-6F03B3644640}">
            <xm:f>NOT(ISERROR(SEARCH(#REF!,H1)))</xm:f>
            <xm:f>#REF!</xm:f>
            <x14:dxf>
              <font>
                <b/>
                <i val="0"/>
              </font>
              <fill>
                <patternFill>
                  <bgColor rgb="FFFFFF00"/>
                </patternFill>
              </fill>
            </x14:dxf>
          </x14:cfRule>
          <xm:sqref>H1:H16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E4258A74FD3747A19BEBD50807A676" ma:contentTypeVersion="25" ma:contentTypeDescription="Create a new document." ma:contentTypeScope="" ma:versionID="6374f5541de236b2a765f9457208c8a1">
  <xsd:schema xmlns:xsd="http://www.w3.org/2001/XMLSchema" xmlns:xs="http://www.w3.org/2001/XMLSchema" xmlns:p="http://schemas.microsoft.com/office/2006/metadata/properties" xmlns:ns1="http://schemas.microsoft.com/sharepoint/v3" xmlns:ns2="2348690c-e7e0-49d2-b2ad-c4014324f030" xmlns:ns3="cf8cbf1e-60e8-490a-823b-b5b42d1427ef" targetNamespace="http://schemas.microsoft.com/office/2006/metadata/properties" ma:root="true" ma:fieldsID="a7249a4bffa3d8afc4fe9d16434ec786" ns1:_="" ns2:_="" ns3:_="">
    <xsd:import namespace="http://schemas.microsoft.com/sharepoint/v3"/>
    <xsd:import namespace="2348690c-e7e0-49d2-b2ad-c4014324f030"/>
    <xsd:import namespace="cf8cbf1e-60e8-490a-823b-b5b42d1427ef"/>
    <xsd:element name="properties">
      <xsd:complexType>
        <xsd:sequence>
          <xsd:element name="documentManagement">
            <xsd:complexType>
              <xsd:all>
                <xsd:element ref="ns2:c5695b7e6f3945e1afbce8ee0567c45d" minOccurs="0"/>
                <xsd:element ref="ns2:TaxCatchAll" minOccurs="0"/>
                <xsd:element ref="ns2:TaxCatchAllLabel" minOccurs="0"/>
                <xsd:element ref="ns2:i0f84bba906045b4af568ee102a52dcb" minOccurs="0"/>
                <xsd:element ref="ns2:RevIMDeletionDate" minOccurs="0"/>
                <xsd:element ref="ns2:RevIMEventDate" minOccurs="0"/>
                <xsd:element ref="ns2:RevIMComments" minOccurs="0"/>
                <xsd:element ref="ns2:RevIMDocumentOwner" minOccurs="0"/>
                <xsd:element ref="ns2:RevIMExtends" minOccurs="0"/>
                <xsd:element ref="ns3:MediaServiceMetadata" minOccurs="0"/>
                <xsd:element ref="ns3:MediaServiceFastMetadata" minOccurs="0"/>
                <xsd:element ref="ns2:SharedWithUsers" minOccurs="0"/>
                <xsd:element ref="ns2:SharedWithDetail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1:_ip_UnifiedCompliancePolicyProperties" minOccurs="0"/>
                <xsd:element ref="ns1:_ip_UnifiedCompliancePolicyUIAction" minOccurs="0"/>
                <xsd:element ref="ns3:MediaServiceObjectDetectorVersions" minOccurs="0"/>
                <xsd:element ref="ns3:Finanz"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348690c-e7e0-49d2-b2ad-c4014324f030" elementFormDefault="qualified">
    <xsd:import namespace="http://schemas.microsoft.com/office/2006/documentManagement/types"/>
    <xsd:import namespace="http://schemas.microsoft.com/office/infopath/2007/PartnerControls"/>
    <xsd:element name="c5695b7e6f3945e1afbce8ee0567c45d" ma:index="8" nillable="true" ma:taxonomy="true" ma:internalName="c5695b7e6f3945e1afbce8ee0567c45d" ma:taxonomyFieldName="LegalHoldTag" ma:displayName="LegalHold" ma:fieldId="{c5695b7e-6f39-45e1-afbc-e8ee0567c45d}" ma:taxonomyMulti="true" ma:sspId="d35d9ec1-ff0e-4daf-94ff-594c76aa1822" ma:termSetId="1d36a6df-4193-45ed-b3bc-3ba9643c5e0d"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d4abc3a6-d1ce-434a-bf35-406ebbe47d31}" ma:internalName="TaxCatchAll" ma:showField="CatchAllData" ma:web="2348690c-e7e0-49d2-b2ad-c4014324f030">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4abc3a6-d1ce-434a-bf35-406ebbe47d31}" ma:internalName="TaxCatchAllLabel" ma:readOnly="true" ma:showField="CatchAllDataLabel" ma:web="2348690c-e7e0-49d2-b2ad-c4014324f030">
      <xsd:complexType>
        <xsd:complexContent>
          <xsd:extension base="dms:MultiChoiceLookup">
            <xsd:sequence>
              <xsd:element name="Value" type="dms:Lookup" maxOccurs="unbounded" minOccurs="0" nillable="true"/>
            </xsd:sequence>
          </xsd:extension>
        </xsd:complexContent>
      </xsd:complexType>
    </xsd:element>
    <xsd:element name="i0f84bba906045b4af568ee102a52dcb" ma:index="13" nillable="true" ma:taxonomy="true" ma:internalName="i0f84bba906045b4af568ee102a52dcb" ma:taxonomyFieldName="RevIMBCS" ma:displayName="CSD Class" ma:readOnly="true" ma:default="2;#3.3 Gebäudeunterlagen|6e8c90b5-a4e0-4102-b842-f9c29ff3ca22" ma:fieldId="{20f84bba-9060-45b4-af56-8ee102a52dcb}" ma:sspId="d35d9ec1-ff0e-4daf-94ff-594c76aa1822" ma:termSetId="83f400d6-6f53-40a3-8fd2-b80b61df545c" ma:anchorId="00000000-0000-0000-0000-000000000000" ma:open="false" ma:isKeyword="false">
      <xsd:complexType>
        <xsd:sequence>
          <xsd:element ref="pc:Terms" minOccurs="0" maxOccurs="1"/>
        </xsd:sequence>
      </xsd:complexType>
    </xsd:element>
    <xsd:element name="RevIMDeletionDate" ma:index="14" nillable="true" ma:displayName="Deletion Date" ma:description="Deletion Date" ma:format="DateOnly" ma:internalName="RevIMDeletionDate" ma:readOnly="true">
      <xsd:simpleType>
        <xsd:restriction base="dms:DateTime"/>
      </xsd:simpleType>
    </xsd:element>
    <xsd:element name="RevIMEventDate" ma:index="15" nillable="true" ma:displayName="Event Date" ma:description="Event Date" ma:format="DateOnly" ma:internalName="RevIMEventDate" ma:readOnly="true">
      <xsd:simpleType>
        <xsd:restriction base="dms:DateTime"/>
      </xsd:simpleType>
    </xsd:element>
    <xsd:element name="RevIMComments" ma:index="16" nillable="true" ma:displayName="Event Comment" ma:internalName="RevIMComments" ma:readOnly="true">
      <xsd:simpleType>
        <xsd:restriction base="dms:Note">
          <xsd:maxLength value="255"/>
        </xsd:restriction>
      </xsd:simpleType>
    </xsd:element>
    <xsd:element name="RevIMDocumentOwner" ma:index="17" nillable="true" ma:displayName="Document Owner" ma:list="UserInfo" ma:internalName="RevIMDocumen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MExtends" ma:index="18" nillable="true" ma:displayName="RevIMExtends" ma:hidden="true" ma:internalName="RevIMExtends" ma:readOnly="true">
      <xsd:simpleType>
        <xsd:restriction base="dms:Note"/>
      </xsd:simple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8cbf1e-60e8-490a-823b-b5b42d1427ef"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35d9ec1-ff0e-4daf-94ff-594c76aa1822"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DateTaken" ma:index="28" nillable="true" ma:displayName="MediaServiceDateTaken" ma:hidden="true" ma:indexed="true" ma:internalName="MediaServiceDateTaken"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element name="MediaServiceLocation" ma:index="30" nillable="true" ma:displayName="Location" ma:description="" ma:indexed="true" ma:internalName="MediaServiceLocation" ma:readOnly="true">
      <xsd:simpleType>
        <xsd:restriction base="dms:Text"/>
      </xsd:simple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element name="Finanz" ma:index="34" nillable="true" ma:displayName="Finanz" ma:format="Dropdown" ma:internalName="Finanz">
      <xsd:simpleType>
        <xsd:restriction base="dms:Text">
          <xsd:maxLength value="255"/>
        </xsd:restrictio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MComments xmlns="2348690c-e7e0-49d2-b2ad-c4014324f030" xsi:nil="true"/>
    <RevIMDocumentOwner xmlns="2348690c-e7e0-49d2-b2ad-c4014324f030">
      <UserInfo>
        <DisplayName/>
        <AccountId xsi:nil="true"/>
        <AccountType/>
      </UserInfo>
    </RevIMDocumentOwner>
    <RevIMDeletionDate xmlns="2348690c-e7e0-49d2-b2ad-c4014324f030">3023-08-06T08:10:15+00:00</RevIMDeletionDate>
    <_ip_UnifiedCompliancePolicyUIAction xmlns="http://schemas.microsoft.com/sharepoint/v3" xsi:nil="true"/>
    <i0f84bba906045b4af568ee102a52dcb xmlns="2348690c-e7e0-49d2-b2ad-c4014324f030">
      <Terms xmlns="http://schemas.microsoft.com/office/infopath/2007/PartnerControls">
        <TermInfo xmlns="http://schemas.microsoft.com/office/infopath/2007/PartnerControls">
          <TermName xmlns="http://schemas.microsoft.com/office/infopath/2007/PartnerControls">3.3 Gebäudeunterlagen</TermName>
          <TermId xmlns="http://schemas.microsoft.com/office/infopath/2007/PartnerControls">6e8c90b5-a4e0-4102-b842-f9c29ff3ca22</TermId>
        </TermInfo>
      </Terms>
    </i0f84bba906045b4af568ee102a52dcb>
    <RevIMEventDate xmlns="2348690c-e7e0-49d2-b2ad-c4014324f030" xsi:nil="true"/>
    <_ip_UnifiedCompliancePolicyProperties xmlns="http://schemas.microsoft.com/sharepoint/v3" xsi:nil="true"/>
    <c5695b7e6f3945e1afbce8ee0567c45d xmlns="2348690c-e7e0-49d2-b2ad-c4014324f030">
      <Terms xmlns="http://schemas.microsoft.com/office/infopath/2007/PartnerControls"/>
    </c5695b7e6f3945e1afbce8ee0567c45d>
    <lcf76f155ced4ddcb4097134ff3c332f xmlns="cf8cbf1e-60e8-490a-823b-b5b42d1427ef">
      <Terms xmlns="http://schemas.microsoft.com/office/infopath/2007/PartnerControls"/>
    </lcf76f155ced4ddcb4097134ff3c332f>
    <TaxCatchAll xmlns="2348690c-e7e0-49d2-b2ad-c4014324f030">
      <Value>2</Value>
    </TaxCatchAll>
    <Finanz xmlns="cf8cbf1e-60e8-490a-823b-b5b42d1427ef" xsi:nil="true"/>
    <RevIMExtends xmlns="2348690c-e7e0-49d2-b2ad-c4014324f030">{"Locked":null,"LockedBy":null,"UnLocked":null,"UnLockedBy":null,"Classified":"2024-08-06T08:10:33.013Z","KSUClass":"6e8c90b5-a4e0-4102-b842-f9c29ff3ca22","Reclassified":null,"ReclassifiedBy":null,"EDReclassified":null,"EDReclassifiedBy":null,"EventCreated":null,"EventModified":null,"EventDeleted":null,"EventCreatedBy":null,"EventModifiedBy":null,"EventDeletedBy":null,"Moved":null,"MovedBy":null,"MovedFrom":null}</RevIMExtend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71B764-16A2-41F5-962C-960B89AB9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348690c-e7e0-49d2-b2ad-c4014324f030"/>
    <ds:schemaRef ds:uri="cf8cbf1e-60e8-490a-823b-b5b42d1427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4983A8-D32D-44C5-A15B-F1B67CE2D556}">
  <ds:schemaRefs>
    <ds:schemaRef ds:uri="http://schemas.microsoft.com/sharepoint/v3"/>
    <ds:schemaRef ds:uri="http://schemas.microsoft.com/office/infopath/2007/PartnerControls"/>
    <ds:schemaRef ds:uri="http://purl.org/dc/terms/"/>
    <ds:schemaRef ds:uri="http://schemas.microsoft.com/office/2006/documentManagement/types"/>
    <ds:schemaRef ds:uri="http://purl.org/dc/dcmitype/"/>
    <ds:schemaRef ds:uri="http://purl.org/dc/elements/1.1/"/>
    <ds:schemaRef ds:uri="http://schemas.microsoft.com/office/2006/metadata/properties"/>
    <ds:schemaRef ds:uri="http://schemas.openxmlformats.org/package/2006/metadata/core-properties"/>
    <ds:schemaRef ds:uri="cf8cbf1e-60e8-490a-823b-b5b42d1427ef"/>
    <ds:schemaRef ds:uri="2348690c-e7e0-49d2-b2ad-c4014324f030"/>
    <ds:schemaRef ds:uri="http://www.w3.org/XML/1998/namespace"/>
  </ds:schemaRefs>
</ds:datastoreItem>
</file>

<file path=customXml/itemProps3.xml><?xml version="1.0" encoding="utf-8"?>
<ds:datastoreItem xmlns:ds="http://schemas.openxmlformats.org/officeDocument/2006/customXml" ds:itemID="{E3B798F6-040D-4FB0-98E5-02377B78E5B3}">
  <ds:schemaRefs>
    <ds:schemaRef ds:uri="http://schemas.microsoft.com/sharepoint/v3/contenttype/forms"/>
  </ds:schemaRefs>
</ds:datastoreItem>
</file>

<file path=docMetadata/LabelInfo.xml><?xml version="1.0" encoding="utf-8"?>
<clbl:labelList xmlns:clbl="http://schemas.microsoft.com/office/2020/mipLabelMetadata">
  <clbl:label id="{b1c9b508-7c6e-42bd-bedf-808292653d6c}" enabled="1" method="Standard" siteId="{2882be50-2012-4d88-ac86-544124e120c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EAW</vt:lpstr>
      <vt:lpstr>Tabelle1</vt:lpstr>
      <vt:lpstr>EAW!Druckbereich</vt:lpstr>
    </vt:vector>
  </TitlesOfParts>
  <Manager/>
  <Company>Volkswagen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Fietzek, Robert (BA-D)</dc:creator>
  <cp:keywords/>
  <dc:description/>
  <cp:lastModifiedBy>Maengel EAW</cp:lastModifiedBy>
  <cp:revision/>
  <cp:lastPrinted>2024-12-12T11:22:59Z</cp:lastPrinted>
  <dcterms:created xsi:type="dcterms:W3CDTF">2024-06-13T12:20:37Z</dcterms:created>
  <dcterms:modified xsi:type="dcterms:W3CDTF">2025-10-30T07:51:18Z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0x01010038E4258A74FD3747A19BEBD50807A676</vt:lpwstr>
  </property>
  <property fmtid="{D5CDD505-2E9C-101B-9397-08002B2CF9AE}" pid="4" name="RevIMBCS">
    <vt:lpwstr>2;#3.3 Gebäudeunterlagen|6e8c90b5-a4e0-4102-b842-f9c29ff3ca22</vt:lpwstr>
  </property>
  <property fmtid="{D5CDD505-2E9C-101B-9397-08002B2CF9AE}" pid="5" name="LegalHoldTag">
    <vt:lpwstr/>
  </property>
</Properties>
</file>