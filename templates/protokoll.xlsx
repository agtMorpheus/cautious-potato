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DieseArbeitsmappe"/>
  <mc:AlternateContent xmlns:mc="http://schemas.openxmlformats.org/markup-compatibility/2006">
    <mc:Choice Requires="x15">
      <x15ac:absPath xmlns:x15ac="http://schemas.microsoft.com/office/spreadsheetml/2010/11/ac" url="P:\Willmes\2025\PMT Prüf-Messtechnik\1406\NEU-1\"/>
    </mc:Choice>
  </mc:AlternateContent>
  <bookViews>
    <workbookView xWindow="15120" yWindow="1890" windowWidth="10080" windowHeight="9960"/>
  </bookViews>
  <sheets>
    <sheet name="Vorlage" sheetId="5" r:id="rId1"/>
  </sheets>
  <definedNames>
    <definedName name="_xlnm.Print_Area" localSheetId="0">Vorlage!$A$1:$AO$364</definedName>
    <definedName name="J.Konitz">Vorlage!$AB$72</definedName>
    <definedName name="Kontrollkästchen1" localSheetId="0">Vorlage!$A$17</definedName>
    <definedName name="Kontrollkästchen10" localSheetId="0">Vorlage!$D$22</definedName>
    <definedName name="Kontrollkästchen11" localSheetId="0">Vorlage!$C$22</definedName>
    <definedName name="Kontrollkästchen2" localSheetId="0">Vorlage!$C$17</definedName>
    <definedName name="Kontrollkästchen4" localSheetId="0">Vorlage!$C$18</definedName>
    <definedName name="Kontrollkästchen6" localSheetId="0">Vorlage!$A$22</definedName>
    <definedName name="Kontrollkästchen8" localSheetId="0">Vorlage!$D$26</definedName>
    <definedName name="S.Wendler" localSheetId="0">Vorlage!$AB$72</definedName>
    <definedName name="S.Wendler">Vorlage!$AB$72</definedName>
    <definedName name="Text18" localSheetId="0">Vorlage!#REF!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8" i="5" l="1"/>
  <c r="AB113" i="5" l="1"/>
  <c r="AB119" i="5"/>
  <c r="AK41" i="5"/>
  <c r="AK82" i="5"/>
  <c r="H82" i="5"/>
  <c r="H41" i="5"/>
  <c r="AI82" i="5" l="1"/>
  <c r="K84" i="5"/>
  <c r="Y84" i="5"/>
  <c r="AM76" i="5" l="1"/>
  <c r="AM117" i="5" s="1"/>
  <c r="AM74" i="5"/>
  <c r="AM115" i="5" s="1"/>
  <c r="K43" i="5" l="1"/>
</calcChain>
</file>

<file path=xl/sharedStrings.xml><?xml version="1.0" encoding="utf-8"?>
<sst xmlns="http://schemas.openxmlformats.org/spreadsheetml/2006/main" count="608" uniqueCount="232">
  <si>
    <t>Blatt  :</t>
  </si>
  <si>
    <t>von</t>
  </si>
  <si>
    <t>Auftraggeber :</t>
  </si>
  <si>
    <t>Auftrag Nr.:</t>
  </si>
  <si>
    <t xml:space="preserve">Kunden Nr.: </t>
  </si>
  <si>
    <t>Auftragnehmer:</t>
  </si>
  <si>
    <t>Ort:</t>
  </si>
  <si>
    <t>Volkswagen AG, Werk Wolfsburg</t>
  </si>
  <si>
    <t>Firma:</t>
  </si>
  <si>
    <t>Anlage:</t>
  </si>
  <si>
    <t>INV:</t>
  </si>
  <si>
    <t>Prüfen nach:</t>
  </si>
  <si>
    <t>DIN VDE 0100 Gruppe 700</t>
  </si>
  <si>
    <t>o</t>
  </si>
  <si>
    <t>DIN VDE 0100-0600</t>
  </si>
  <si>
    <t>DIN VDE 0105-0100</t>
  </si>
  <si>
    <t>þ</t>
  </si>
  <si>
    <t>/</t>
  </si>
  <si>
    <t>Neuanlage</t>
  </si>
  <si>
    <t>Erweiterung</t>
  </si>
  <si>
    <t>Änderung</t>
  </si>
  <si>
    <t>Instandsetzung</t>
  </si>
  <si>
    <t>Wiederholungsprüfung</t>
  </si>
  <si>
    <t>Netz:</t>
  </si>
  <si>
    <t>V</t>
  </si>
  <si>
    <t>Netzform</t>
  </si>
  <si>
    <t>TN-C</t>
  </si>
  <si>
    <t>TN-S</t>
  </si>
  <si>
    <t>TN-C-S</t>
  </si>
  <si>
    <t>TT</t>
  </si>
  <si>
    <t>IT</t>
  </si>
  <si>
    <t>Netzbetreiber</t>
  </si>
  <si>
    <t>Besichtigung</t>
  </si>
  <si>
    <t>i.O.</t>
  </si>
  <si>
    <t>n.i.O.</t>
  </si>
  <si>
    <t>Auswahl der Betriebsmittel</t>
  </si>
  <si>
    <t>Zugänglichkeit</t>
  </si>
  <si>
    <t>Trenn- und Schaltgeräte</t>
  </si>
  <si>
    <t>Kennzeichnung N- und PE-Leiter</t>
  </si>
  <si>
    <t>Schutzpotentialausgleich</t>
  </si>
  <si>
    <t>Brandabschottungen</t>
  </si>
  <si>
    <t>Leiterverbindungen</t>
  </si>
  <si>
    <t>zus. örtl. Potentialausgleich</t>
  </si>
  <si>
    <t>Gebäudesystemtechnik</t>
  </si>
  <si>
    <t>Schutz- und Überwachungseinrichtungen</t>
  </si>
  <si>
    <t>Dokumentation</t>
  </si>
  <si>
    <t>Kabel, Leitungen, Stromschienen</t>
  </si>
  <si>
    <t>siehe Ergänzungsblätter</t>
  </si>
  <si>
    <t>Erproben</t>
  </si>
  <si>
    <t>Rechtsdrehfelder der</t>
  </si>
  <si>
    <t>Funktionsprüfung der Anlage</t>
  </si>
  <si>
    <t>Überwachungseinrichtungen</t>
  </si>
  <si>
    <t>Drehstromsteckdose</t>
  </si>
  <si>
    <t>Drehrichtung der Motoren</t>
  </si>
  <si>
    <t>Messen</t>
  </si>
  <si>
    <t>Fundamenterder</t>
  </si>
  <si>
    <t>Hauptwasserleitung</t>
  </si>
  <si>
    <t>Heizungsanlage</t>
  </si>
  <si>
    <t>EDV-Anlage</t>
  </si>
  <si>
    <t>Haupterdungsschiene</t>
  </si>
  <si>
    <t>Hauptschutzleiter</t>
  </si>
  <si>
    <t>Klimaanlage</t>
  </si>
  <si>
    <t>Telefonanlage</t>
  </si>
  <si>
    <t>Gebäudekonstruktion</t>
  </si>
  <si>
    <t>Wasserzwischenzähler</t>
  </si>
  <si>
    <t>Gasinnenleitung</t>
  </si>
  <si>
    <t>Aufzugsanlage</t>
  </si>
  <si>
    <t>Blitzschutzanlage</t>
  </si>
  <si>
    <t>Verwendete Messgeräte</t>
  </si>
  <si>
    <t>Fabrikat:</t>
  </si>
  <si>
    <t>nach DIN VDE 0413</t>
  </si>
  <si>
    <t>Typ:</t>
  </si>
  <si>
    <t>Prüfungsergebnis:</t>
  </si>
  <si>
    <t>keine Mängel festgestellt</t>
  </si>
  <si>
    <t>Prüfplakette angebracht:</t>
  </si>
  <si>
    <t>ja</t>
  </si>
  <si>
    <t>nächster Prüfungstermin:</t>
  </si>
  <si>
    <t>Mängel festgestellt</t>
  </si>
  <si>
    <t>nein</t>
  </si>
  <si>
    <t>gemäß Gefährdungsbereich</t>
  </si>
  <si>
    <t>Bemerkung:</t>
  </si>
  <si>
    <t>Zu Prüfprotokoll Nr.:</t>
  </si>
  <si>
    <t>Blatt :</t>
  </si>
  <si>
    <t>Stromkreisverteiler Nr.:</t>
  </si>
  <si>
    <t xml:space="preserve">  </t>
  </si>
  <si>
    <t xml:space="preserve">Einspeisung:   </t>
  </si>
  <si>
    <t>Stromkreis</t>
  </si>
  <si>
    <t>Leitung / Kabel</t>
  </si>
  <si>
    <t>Un</t>
  </si>
  <si>
    <t>Überstrom-Schutzeinrichtung</t>
  </si>
  <si>
    <t>Schutz-   leiter- wider-stand</t>
  </si>
  <si>
    <t xml:space="preserve"> GEWISS RCD</t>
  </si>
  <si>
    <t>Fehlerstrom-Schutzeinrichtung</t>
  </si>
  <si>
    <t>Typ</t>
  </si>
  <si>
    <t>Leiter</t>
  </si>
  <si>
    <t>(V)</t>
  </si>
  <si>
    <t>(Hz)</t>
  </si>
  <si>
    <t>Art</t>
  </si>
  <si>
    <t>IN/</t>
  </si>
  <si>
    <t>Auslöse-</t>
  </si>
  <si>
    <t>An-   zahl</t>
  </si>
  <si>
    <t>Quer- schnitt</t>
  </si>
  <si>
    <t>Charak-</t>
  </si>
  <si>
    <t>ohne Ver-</t>
  </si>
  <si>
    <t>mit Ver-</t>
  </si>
  <si>
    <t>(mA)</t>
  </si>
  <si>
    <t>Zeit</t>
  </si>
  <si>
    <t>teristik</t>
  </si>
  <si>
    <t>(A)</t>
  </si>
  <si>
    <t>L-PE</t>
  </si>
  <si>
    <t>L-N</t>
  </si>
  <si>
    <t>braucher</t>
  </si>
  <si>
    <t>&lt;In</t>
  </si>
  <si>
    <t>in</t>
  </si>
  <si>
    <t>(mm²)</t>
  </si>
  <si>
    <t>(ms)</t>
  </si>
  <si>
    <t>( V )</t>
  </si>
  <si>
    <t>mA</t>
  </si>
  <si>
    <t>Auftraggeber:</t>
  </si>
  <si>
    <t>Verantwortlicher Prüfer:</t>
  </si>
  <si>
    <t>Gemäß Übergabebericht elektrischer Anlage vollständig übernommen</t>
  </si>
  <si>
    <t>Die elektrische Anlage entspricht den anerkannten Regeln der Elektrotechnik</t>
  </si>
  <si>
    <t>Zustandsbericht erhalten</t>
  </si>
  <si>
    <t>Wolfsburg</t>
  </si>
  <si>
    <t>Datum:</t>
  </si>
  <si>
    <t>Unterschrift:</t>
  </si>
  <si>
    <r>
      <t>Durchgängigkeit des Potentialausgleich (</t>
    </r>
    <r>
      <rPr>
        <b/>
        <sz val="10"/>
        <rFont val="Arial"/>
        <family val="2"/>
      </rPr>
      <t>≤</t>
    </r>
    <r>
      <rPr>
        <b/>
        <sz val="10"/>
        <rFont val="TKTypeBold"/>
        <family val="2"/>
      </rPr>
      <t xml:space="preserve"> 0,1</t>
    </r>
    <r>
      <rPr>
        <b/>
        <sz val="10"/>
        <rFont val="Arial"/>
        <family val="2"/>
      </rPr>
      <t>Ω</t>
    </r>
    <r>
      <rPr>
        <b/>
        <sz val="10"/>
        <rFont val="TKTypeBold"/>
        <family val="2"/>
      </rPr>
      <t xml:space="preserve"> nachgewiesen)</t>
    </r>
  </si>
  <si>
    <r>
      <t>f</t>
    </r>
    <r>
      <rPr>
        <b/>
        <sz val="8"/>
        <rFont val="Arial"/>
        <family val="2"/>
      </rPr>
      <t>n</t>
    </r>
  </si>
  <si>
    <r>
      <t>R</t>
    </r>
    <r>
      <rPr>
        <b/>
        <vertAlign val="subscript"/>
        <sz val="10"/>
        <rFont val="TKTypeBold"/>
        <family val="2"/>
      </rPr>
      <t>iso</t>
    </r>
    <r>
      <rPr>
        <b/>
        <sz val="10"/>
        <rFont val="TKTypeBold"/>
        <family val="2"/>
      </rPr>
      <t xml:space="preserve"> (M</t>
    </r>
    <r>
      <rPr>
        <b/>
        <sz val="10"/>
        <rFont val="Arial"/>
        <family val="2"/>
      </rPr>
      <t>Ω</t>
    </r>
    <r>
      <rPr>
        <b/>
        <sz val="10"/>
        <rFont val="TKTypeBold"/>
        <family val="2"/>
      </rPr>
      <t>)</t>
    </r>
  </si>
  <si>
    <r>
      <rPr>
        <b/>
        <sz val="10"/>
        <rFont val="TKTypeBold"/>
      </rPr>
      <t>Diff.-  strom</t>
    </r>
    <r>
      <rPr>
        <sz val="10"/>
        <rFont val="TKTypeBold"/>
        <family val="2"/>
      </rPr>
      <t xml:space="preserve">     </t>
    </r>
    <r>
      <rPr>
        <sz val="10"/>
        <rFont val="TKTypeRegular"/>
        <family val="2"/>
      </rPr>
      <t xml:space="preserve">      </t>
    </r>
  </si>
  <si>
    <r>
      <t>I</t>
    </r>
    <r>
      <rPr>
        <vertAlign val="subscript"/>
        <sz val="10"/>
        <rFont val="TKTypeRegular"/>
        <family val="2"/>
      </rPr>
      <t>n</t>
    </r>
  </si>
  <si>
    <r>
      <t>Z</t>
    </r>
    <r>
      <rPr>
        <sz val="6"/>
        <rFont val="TKTypeRegular"/>
      </rPr>
      <t>S</t>
    </r>
    <r>
      <rPr>
        <sz val="10"/>
        <rFont val="TKTypeRegular"/>
        <family val="2"/>
      </rPr>
      <t>(</t>
    </r>
    <r>
      <rPr>
        <sz val="10"/>
        <rFont val="Arial"/>
        <family val="2"/>
      </rPr>
      <t>Ω</t>
    </r>
    <r>
      <rPr>
        <sz val="10"/>
        <rFont val="TKTypeRegular"/>
        <family val="2"/>
      </rPr>
      <t>)</t>
    </r>
  </si>
  <si>
    <r>
      <t>Z</t>
    </r>
    <r>
      <rPr>
        <sz val="6"/>
        <rFont val="TKTypeRegular"/>
      </rPr>
      <t>N</t>
    </r>
    <r>
      <rPr>
        <sz val="10"/>
        <rFont val="TKTypeRegular"/>
        <family val="2"/>
      </rPr>
      <t>(</t>
    </r>
    <r>
      <rPr>
        <sz val="10"/>
        <rFont val="Arial"/>
        <family val="2"/>
      </rPr>
      <t>Ω</t>
    </r>
    <r>
      <rPr>
        <sz val="10"/>
        <rFont val="TKTypeRegular"/>
        <family val="2"/>
      </rPr>
      <t>)</t>
    </r>
  </si>
  <si>
    <r>
      <t>I</t>
    </r>
    <r>
      <rPr>
        <vertAlign val="subscript"/>
        <sz val="10"/>
        <rFont val="Arial"/>
        <family val="2"/>
      </rPr>
      <t>∆</t>
    </r>
    <r>
      <rPr>
        <vertAlign val="subscript"/>
        <sz val="10"/>
        <rFont val="TKTypeRegular"/>
        <family val="2"/>
      </rPr>
      <t>n</t>
    </r>
  </si>
  <si>
    <r>
      <t>I</t>
    </r>
    <r>
      <rPr>
        <vertAlign val="subscript"/>
        <sz val="10"/>
        <rFont val="Arial"/>
        <family val="2"/>
      </rPr>
      <t>mess</t>
    </r>
  </si>
  <si>
    <r>
      <t>U</t>
    </r>
    <r>
      <rPr>
        <vertAlign val="subscript"/>
        <sz val="10"/>
        <rFont val="Arial"/>
        <family val="2"/>
      </rPr>
      <t>L</t>
    </r>
    <r>
      <rPr>
        <sz val="10"/>
        <rFont val="Arial"/>
        <family val="2"/>
      </rPr>
      <t>≤50V</t>
    </r>
  </si>
  <si>
    <r>
      <t>R</t>
    </r>
    <r>
      <rPr>
        <sz val="6"/>
        <rFont val="Arial"/>
        <family val="2"/>
      </rPr>
      <t>PE</t>
    </r>
  </si>
  <si>
    <r>
      <t>t</t>
    </r>
    <r>
      <rPr>
        <vertAlign val="subscript"/>
        <sz val="10"/>
        <rFont val="TKTypeRegular"/>
        <family val="2"/>
      </rPr>
      <t>A</t>
    </r>
    <r>
      <rPr>
        <sz val="8"/>
        <rFont val="TKTypeRegular"/>
        <family val="2"/>
      </rPr>
      <t xml:space="preserve">     </t>
    </r>
  </si>
  <si>
    <r>
      <t>U</t>
    </r>
    <r>
      <rPr>
        <vertAlign val="subscript"/>
        <sz val="10"/>
        <rFont val="Arial"/>
        <family val="2"/>
      </rPr>
      <t>mess</t>
    </r>
    <r>
      <rPr>
        <sz val="10"/>
        <rFont val="Arial"/>
        <family val="2"/>
      </rPr>
      <t xml:space="preserve"> </t>
    </r>
  </si>
  <si>
    <r>
      <t xml:space="preserve">max. </t>
    </r>
    <r>
      <rPr>
        <u/>
        <sz val="8"/>
        <rFont val="Arial"/>
        <family val="2"/>
      </rPr>
      <t>&lt;1Ω</t>
    </r>
  </si>
  <si>
    <r>
      <t>Erdungswiderstand:R</t>
    </r>
    <r>
      <rPr>
        <sz val="8"/>
        <rFont val="TKTypeBold"/>
        <family val="2"/>
      </rPr>
      <t>E              Ω</t>
    </r>
  </si>
  <si>
    <r>
      <t xml:space="preserve">Die elektrische Anlage entspricht </t>
    </r>
    <r>
      <rPr>
        <b/>
        <u/>
        <sz val="8"/>
        <rFont val="Arial"/>
        <family val="2"/>
      </rPr>
      <t>nicht</t>
    </r>
    <r>
      <rPr>
        <sz val="8"/>
        <rFont val="Arial"/>
        <family val="2"/>
      </rPr>
      <t xml:space="preserve"> den anerkannten Regeln der Elektrotechnik</t>
    </r>
  </si>
  <si>
    <t xml:space="preserve">DGUV V3 </t>
  </si>
  <si>
    <r>
      <t>I</t>
    </r>
    <r>
      <rPr>
        <vertAlign val="subscript"/>
        <sz val="10"/>
        <rFont val="TKTypeRegular"/>
        <family val="2"/>
      </rPr>
      <t>k</t>
    </r>
    <r>
      <rPr>
        <sz val="10"/>
        <rFont val="TKTypeRegular"/>
        <family val="2"/>
      </rPr>
      <t xml:space="preserve"> (k</t>
    </r>
    <r>
      <rPr>
        <sz val="10"/>
        <rFont val="Arial"/>
        <family val="2"/>
      </rPr>
      <t>A</t>
    </r>
    <r>
      <rPr>
        <sz val="10"/>
        <rFont val="TKTypeRegular"/>
        <family val="2"/>
      </rPr>
      <t>)</t>
    </r>
  </si>
  <si>
    <t xml:space="preserve">Anlage Blatt </t>
  </si>
  <si>
    <t>Prüfung stationärer Anlagen, Prüfprotokoll VDE 0100</t>
  </si>
  <si>
    <t xml:space="preserve"> Nr.:</t>
  </si>
  <si>
    <t>Nächste Kalibrierung:</t>
  </si>
  <si>
    <t>Ident-Nr.:</t>
  </si>
  <si>
    <t xml:space="preserve">RCD-Schutzschalter </t>
  </si>
  <si>
    <t>Kennz., Stromkr., Betriebsmittel</t>
  </si>
  <si>
    <t>Basisschutz, Schutz gegen direkt. Berühren</t>
  </si>
  <si>
    <t>Funktion der Schutz-, Sicherheits- und</t>
  </si>
  <si>
    <r>
      <t xml:space="preserve">Bitte in Druckbuchstaben und </t>
    </r>
    <r>
      <rPr>
        <b/>
        <sz val="12"/>
        <color theme="0" tint="-0.499984740745262"/>
        <rFont val="Arial"/>
        <family val="2"/>
      </rPr>
      <t xml:space="preserve">nicht!! </t>
    </r>
    <r>
      <rPr>
        <sz val="12"/>
        <color theme="0" tint="-0.499984740745262"/>
        <rFont val="Arial"/>
        <family val="2"/>
      </rPr>
      <t>mit Bleistift ausfüllen</t>
    </r>
  </si>
  <si>
    <t>Berliner Ring 2, 38436 Wolfsburg</t>
  </si>
  <si>
    <t>Pos.Nr.</t>
  </si>
  <si>
    <t xml:space="preserve">Nr. </t>
  </si>
  <si>
    <t xml:space="preserve"> Zielbezeichnung</t>
  </si>
  <si>
    <t>Zielbezeichnung</t>
  </si>
  <si>
    <t>Nr.</t>
  </si>
  <si>
    <t>Reinigung des Schaltschranks</t>
  </si>
  <si>
    <t>Schraubverb. U. Klemmstellen auf festen Sitz</t>
  </si>
  <si>
    <t>PR800(Modifiziert V1) - PWW-F/1</t>
  </si>
  <si>
    <t>M.Hildermann</t>
  </si>
  <si>
    <t>Bilder:</t>
  </si>
  <si>
    <t>EAW Wolfsburg</t>
  </si>
  <si>
    <t>Dieselstraße 27, 38446 Wolfsburg</t>
  </si>
  <si>
    <t>01.01.0080.</t>
  </si>
  <si>
    <t>01.01.0180.</t>
  </si>
  <si>
    <t>01.06.0020.</t>
  </si>
  <si>
    <t xml:space="preserve">Metrel EurotestXC </t>
  </si>
  <si>
    <t>Mi3152</t>
  </si>
  <si>
    <t>F5</t>
  </si>
  <si>
    <t>AF2</t>
  </si>
  <si>
    <t>Einspeisung AN L1</t>
  </si>
  <si>
    <t>Einspeisung AN L2</t>
  </si>
  <si>
    <t>Einspeisung AN L3</t>
  </si>
  <si>
    <t>Einspeisung EN L1</t>
  </si>
  <si>
    <t>Einspeisung EN L2</t>
  </si>
  <si>
    <t>Einspeisung EN L3</t>
  </si>
  <si>
    <t>NYM-J</t>
  </si>
  <si>
    <t>x</t>
  </si>
  <si>
    <t>gG D02</t>
  </si>
  <si>
    <t>63</t>
  </si>
  <si>
    <t>50</t>
  </si>
  <si>
    <t>&gt;999</t>
  </si>
  <si>
    <t>Hauptsicherung AN</t>
  </si>
  <si>
    <t>Hauptsicherung EN</t>
  </si>
  <si>
    <t>F01</t>
  </si>
  <si>
    <t>F02</t>
  </si>
  <si>
    <t>F03</t>
  </si>
  <si>
    <t>F04</t>
  </si>
  <si>
    <t>F05</t>
  </si>
  <si>
    <t>F06</t>
  </si>
  <si>
    <t>Meldeleuchte AN Ein</t>
  </si>
  <si>
    <t>Meldeleuchte EN Ein</t>
  </si>
  <si>
    <t>F07</t>
  </si>
  <si>
    <t>F08</t>
  </si>
  <si>
    <t>F09</t>
  </si>
  <si>
    <t>F10</t>
  </si>
  <si>
    <t>F11</t>
  </si>
  <si>
    <t>F12</t>
  </si>
  <si>
    <t>F13</t>
  </si>
  <si>
    <t>F14</t>
  </si>
  <si>
    <t>Phashenwächter</t>
  </si>
  <si>
    <t>Steuersicherung</t>
  </si>
  <si>
    <t>Intern</t>
  </si>
  <si>
    <t>35</t>
  </si>
  <si>
    <t>LS-C</t>
  </si>
  <si>
    <t>6</t>
  </si>
  <si>
    <t>01.01.0010.</t>
  </si>
  <si>
    <t>F1</t>
  </si>
  <si>
    <t>F2</t>
  </si>
  <si>
    <t>F3</t>
  </si>
  <si>
    <t>F4</t>
  </si>
  <si>
    <t>F6</t>
  </si>
  <si>
    <t>F7</t>
  </si>
  <si>
    <t>F8</t>
  </si>
  <si>
    <t>F9</t>
  </si>
  <si>
    <t>gG D01</t>
  </si>
  <si>
    <t>10</t>
  </si>
  <si>
    <t>&gt;200</t>
  </si>
  <si>
    <t>EDB101120250925</t>
  </si>
  <si>
    <t>A5937814</t>
  </si>
  <si>
    <t>Halle 3, Feld Mb55</t>
  </si>
  <si>
    <t>E03150AP17000000226</t>
  </si>
  <si>
    <t>LV-UM-Mb-55</t>
  </si>
  <si>
    <t>KV-Ma47/F6; ENKV-La37/F12</t>
  </si>
  <si>
    <t>LV-M48</t>
  </si>
  <si>
    <t>Bel. Feld M49-58</t>
  </si>
  <si>
    <t>Bel. Feld Mb50-56</t>
  </si>
  <si>
    <t>Bel. Feld Mb57-60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</si>
</sst>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/\/\ yyyy"/>
  </numFmts>
  <fonts count="58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b/>
      <sz val="13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8"/>
      <name val="Wingdings"/>
      <charset val="2"/>
    </font>
    <font>
      <b/>
      <sz val="11"/>
      <name val="Arial"/>
      <family val="2"/>
    </font>
    <font>
      <sz val="11"/>
      <name val="Arial"/>
      <family val="2"/>
    </font>
    <font>
      <sz val="10"/>
      <name val="TKTypeBold"/>
      <family val="2"/>
    </font>
    <font>
      <b/>
      <sz val="10"/>
      <name val="TKTypeBold"/>
    </font>
    <font>
      <i/>
      <sz val="8"/>
      <name val="TKTypeRegular"/>
      <family val="2"/>
    </font>
    <font>
      <sz val="8"/>
      <name val="TKTypeRegular"/>
      <family val="2"/>
    </font>
    <font>
      <sz val="10"/>
      <name val="TKTypeRegular"/>
      <family val="2"/>
    </font>
    <font>
      <sz val="7"/>
      <name val="TKTypeRegular"/>
      <family val="2"/>
    </font>
    <font>
      <sz val="10"/>
      <name val="TKTypeRegular"/>
    </font>
    <font>
      <b/>
      <sz val="10"/>
      <name val="TKTypeBold"/>
      <family val="2"/>
    </font>
    <font>
      <b/>
      <sz val="9"/>
      <name val="TKTypeBold"/>
      <family val="2"/>
    </font>
    <font>
      <sz val="8"/>
      <name val="TKTypeRegular"/>
    </font>
    <font>
      <b/>
      <sz val="9"/>
      <name val="TKTypeBold"/>
    </font>
    <font>
      <b/>
      <sz val="12"/>
      <name val="Arial"/>
      <family val="2"/>
    </font>
    <font>
      <b/>
      <sz val="8"/>
      <name val="Arial"/>
      <family val="2"/>
    </font>
    <font>
      <b/>
      <vertAlign val="subscript"/>
      <sz val="10"/>
      <name val="TKTypeBold"/>
      <family val="2"/>
    </font>
    <font>
      <b/>
      <sz val="8"/>
      <name val="TKTypeBold"/>
    </font>
    <font>
      <sz val="10"/>
      <name val="TKTypeBold"/>
    </font>
    <font>
      <sz val="9"/>
      <name val="TKTypeRegular"/>
      <family val="2"/>
    </font>
    <font>
      <sz val="9"/>
      <name val="Arial"/>
      <family val="2"/>
    </font>
    <font>
      <vertAlign val="subscript"/>
      <sz val="10"/>
      <name val="TKTypeRegular"/>
      <family val="2"/>
    </font>
    <font>
      <sz val="6"/>
      <name val="TKTypeRegular"/>
    </font>
    <font>
      <sz val="8"/>
      <name val="TKTypeBold"/>
    </font>
    <font>
      <vertAlign val="subscript"/>
      <sz val="10"/>
      <name val="Arial"/>
      <family val="2"/>
    </font>
    <font>
      <sz val="8"/>
      <name val="Arial"/>
      <family val="2"/>
    </font>
    <font>
      <sz val="6"/>
      <name val="Arial"/>
      <family val="2"/>
    </font>
    <font>
      <u/>
      <sz val="8"/>
      <name val="Arial"/>
      <family val="2"/>
    </font>
    <font>
      <sz val="8"/>
      <name val="TKTypeBold"/>
      <family val="2"/>
    </font>
    <font>
      <b/>
      <u/>
      <sz val="8"/>
      <name val="Arial"/>
      <family val="2"/>
    </font>
    <font>
      <b/>
      <sz val="14"/>
      <name val="Arial"/>
      <family val="2"/>
    </font>
    <font>
      <sz val="12"/>
      <color theme="0" tint="-0.499984740745262"/>
      <name val="Arial"/>
      <family val="2"/>
    </font>
    <font>
      <b/>
      <sz val="12"/>
      <color theme="0" tint="-0.499984740745262"/>
      <name val="Arial"/>
      <family val="2"/>
    </font>
    <font>
      <b/>
      <sz val="8"/>
      <name val="TKTypeBold"/>
      <family val="2"/>
    </font>
    <font>
      <sz val="8"/>
      <color theme="0" tint="-0.499984740745262"/>
      <name val="Arial"/>
      <family val="2"/>
    </font>
    <font>
      <sz val="7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31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1" applyNumberFormat="0" applyAlignment="0" applyProtection="0"/>
    <xf numFmtId="0" fontId="4" fillId="20" borderId="2" applyNumberFormat="0" applyAlignment="0" applyProtection="0"/>
    <xf numFmtId="0" fontId="5" fillId="7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21" borderId="0" applyNumberFormat="0" applyBorder="0" applyAlignment="0" applyProtection="0"/>
    <xf numFmtId="0" fontId="10" fillId="22" borderId="4" applyNumberFormat="0" applyFont="0" applyAlignment="0" applyProtection="0"/>
    <xf numFmtId="0" fontId="11" fillId="3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23" borderId="9" applyNumberFormat="0" applyAlignment="0" applyProtection="0"/>
  </cellStyleXfs>
  <cellXfs count="435">
    <xf numFmtId="0" fontId="0" fillId="0" borderId="0" xfId="0"/>
    <xf numFmtId="0" fontId="19" fillId="0" borderId="0" xfId="0" applyFont="1"/>
    <xf numFmtId="0" fontId="0" fillId="0" borderId="0" xfId="0" applyAlignment="1">
      <alignment horizontal="center"/>
    </xf>
    <xf numFmtId="0" fontId="21" fillId="0" borderId="0" xfId="0" applyFont="1" applyAlignment="1">
      <alignment horizont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vertical="center"/>
    </xf>
    <xf numFmtId="0" fontId="22" fillId="0" borderId="0" xfId="0" applyFont="1" applyAlignment="1" applyProtection="1">
      <alignment horizontal="center" vertical="center"/>
      <protection locked="0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20" fillId="0" borderId="0" xfId="0" applyFont="1"/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4" xfId="0" applyBorder="1" applyAlignment="1">
      <alignment vertical="top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10" fillId="0" borderId="17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24" fillId="0" borderId="11" xfId="0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22" fillId="0" borderId="11" xfId="0" applyFont="1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center" vertical="center"/>
    </xf>
    <xf numFmtId="0" fontId="22" fillId="0" borderId="10" xfId="0" applyFont="1" applyBorder="1" applyAlignment="1" applyProtection="1">
      <alignment horizontal="center" vertical="center"/>
      <protection locked="0"/>
    </xf>
    <xf numFmtId="0" fontId="0" fillId="0" borderId="16" xfId="0" applyBorder="1" applyAlignment="1">
      <alignment vertical="center"/>
    </xf>
    <xf numFmtId="0" fontId="25" fillId="0" borderId="10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7" fillId="0" borderId="11" xfId="0" applyFont="1" applyBorder="1" applyAlignment="1">
      <alignment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3" xfId="0" applyFont="1" applyBorder="1" applyAlignment="1">
      <alignment vertical="center"/>
    </xf>
    <xf numFmtId="0" fontId="25" fillId="0" borderId="12" xfId="0" applyFont="1" applyBorder="1" applyAlignment="1">
      <alignment horizontal="left" vertical="center" wrapText="1"/>
    </xf>
    <xf numFmtId="0" fontId="25" fillId="0" borderId="11" xfId="0" applyFont="1" applyBorder="1" applyAlignment="1">
      <alignment horizontal="left" vertical="center" wrapText="1"/>
    </xf>
    <xf numFmtId="0" fontId="25" fillId="0" borderId="11" xfId="0" applyFont="1" applyBorder="1" applyAlignment="1">
      <alignment horizontal="center" vertical="center" wrapText="1"/>
    </xf>
    <xf numFmtId="0" fontId="28" fillId="0" borderId="11" xfId="0" applyFont="1" applyBorder="1" applyAlignment="1">
      <alignment vertical="center"/>
    </xf>
    <xf numFmtId="0" fontId="27" fillId="0" borderId="11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6" xfId="0" applyFont="1" applyBorder="1" applyAlignment="1" applyProtection="1">
      <alignment horizontal="center" vertical="center"/>
      <protection locked="0"/>
    </xf>
    <xf numFmtId="0" fontId="22" fillId="0" borderId="21" xfId="0" applyFont="1" applyBorder="1" applyAlignment="1" applyProtection="1">
      <alignment horizontal="center" vertical="center"/>
      <protection locked="0"/>
    </xf>
    <xf numFmtId="0" fontId="27" fillId="0" borderId="16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32" fillId="0" borderId="10" xfId="0" applyFont="1" applyBorder="1" applyAlignment="1">
      <alignment horizontal="left" vertical="center"/>
    </xf>
    <xf numFmtId="0" fontId="32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left" vertical="center"/>
    </xf>
    <xf numFmtId="0" fontId="29" fillId="0" borderId="14" xfId="0" applyFont="1" applyBorder="1" applyAlignment="1" applyProtection="1">
      <alignment horizontal="left" vertical="center"/>
      <protection locked="0"/>
    </xf>
    <xf numFmtId="0" fontId="29" fillId="0" borderId="15" xfId="0" applyFont="1" applyBorder="1" applyAlignment="1" applyProtection="1">
      <alignment horizontal="left" vertical="center"/>
      <protection locked="0"/>
    </xf>
    <xf numFmtId="0" fontId="29" fillId="0" borderId="11" xfId="0" applyFont="1" applyBorder="1" applyAlignment="1" applyProtection="1">
      <alignment horizontal="left" vertical="center"/>
      <protection locked="0"/>
    </xf>
    <xf numFmtId="0" fontId="30" fillId="0" borderId="11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0" fontId="29" fillId="0" borderId="0" xfId="0" applyFont="1" applyAlignment="1" applyProtection="1">
      <alignment horizontal="left" vertical="center"/>
      <protection locked="0"/>
    </xf>
    <xf numFmtId="0" fontId="28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0" fillId="0" borderId="15" xfId="0" applyFont="1" applyBorder="1" applyAlignment="1">
      <alignment vertical="center"/>
    </xf>
    <xf numFmtId="0" fontId="28" fillId="0" borderId="0" xfId="0" applyFont="1" applyAlignment="1" applyProtection="1">
      <alignment horizontal="left" vertical="center"/>
      <protection locked="0"/>
    </xf>
    <xf numFmtId="0" fontId="28" fillId="0" borderId="0" xfId="0" applyFont="1" applyAlignment="1">
      <alignment horizontal="center" vertical="top"/>
    </xf>
    <xf numFmtId="0" fontId="0" fillId="0" borderId="10" xfId="0" applyBorder="1"/>
    <xf numFmtId="0" fontId="20" fillId="0" borderId="10" xfId="0" applyFont="1" applyBorder="1"/>
    <xf numFmtId="0" fontId="0" fillId="0" borderId="19" xfId="0" applyBorder="1"/>
    <xf numFmtId="0" fontId="25" fillId="0" borderId="11" xfId="0" applyFont="1" applyBorder="1" applyAlignment="1">
      <alignment vertical="top" wrapText="1"/>
    </xf>
    <xf numFmtId="0" fontId="25" fillId="0" borderId="13" xfId="0" applyFont="1" applyBorder="1" applyAlignment="1">
      <alignment vertical="top" wrapText="1"/>
    </xf>
    <xf numFmtId="0" fontId="26" fillId="0" borderId="23" xfId="0" applyFont="1" applyBorder="1" applyAlignment="1">
      <alignment horizontal="center" vertical="top" wrapText="1"/>
    </xf>
    <xf numFmtId="0" fontId="20" fillId="0" borderId="24" xfId="0" applyFont="1" applyBorder="1" applyAlignment="1">
      <alignment horizontal="center" vertical="center"/>
    </xf>
    <xf numFmtId="0" fontId="41" fillId="0" borderId="26" xfId="0" applyFont="1" applyBorder="1" applyAlignment="1">
      <alignment horizontal="center" vertical="top" wrapText="1"/>
    </xf>
    <xf numFmtId="0" fontId="42" fillId="0" borderId="27" xfId="0" applyFont="1" applyBorder="1" applyAlignment="1">
      <alignment horizontal="center" vertical="center"/>
    </xf>
    <xf numFmtId="0" fontId="29" fillId="0" borderId="27" xfId="0" applyFont="1" applyBorder="1" applyAlignment="1">
      <alignment vertical="top" wrapText="1"/>
    </xf>
    <xf numFmtId="0" fontId="29" fillId="0" borderId="28" xfId="0" applyFont="1" applyBorder="1" applyAlignment="1">
      <alignment vertical="top" wrapText="1"/>
    </xf>
    <xf numFmtId="0" fontId="22" fillId="0" borderId="27" xfId="0" applyFont="1" applyBorder="1" applyAlignment="1" applyProtection="1">
      <alignment horizontal="center" vertical="center"/>
      <protection locked="0"/>
    </xf>
    <xf numFmtId="0" fontId="45" fillId="0" borderId="25" xfId="0" applyFont="1" applyBorder="1" applyAlignment="1">
      <alignment horizontal="center" vertical="top" wrapText="1"/>
    </xf>
    <xf numFmtId="0" fontId="25" fillId="0" borderId="0" xfId="0" applyFont="1" applyAlignment="1">
      <alignment horizontal="left" vertical="top" wrapText="1"/>
    </xf>
    <xf numFmtId="0" fontId="25" fillId="0" borderId="15" xfId="0" applyFont="1" applyBorder="1" applyAlignment="1">
      <alignment horizontal="left" vertical="top" wrapText="1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8" fillId="0" borderId="27" xfId="0" applyFont="1" applyBorder="1" applyAlignment="1" applyProtection="1">
      <alignment vertical="center"/>
      <protection locked="0"/>
    </xf>
    <xf numFmtId="0" fontId="28" fillId="0" borderId="28" xfId="0" applyFont="1" applyBorder="1" applyAlignment="1" applyProtection="1">
      <alignment vertical="center"/>
      <protection locked="0"/>
    </xf>
    <xf numFmtId="0" fontId="30" fillId="0" borderId="27" xfId="0" applyFont="1" applyBorder="1" applyAlignment="1">
      <alignment vertical="top" wrapText="1"/>
    </xf>
    <xf numFmtId="0" fontId="0" fillId="0" borderId="28" xfId="0" applyBorder="1"/>
    <xf numFmtId="0" fontId="47" fillId="0" borderId="25" xfId="0" applyFont="1" applyBorder="1" applyAlignment="1">
      <alignment horizontal="center" vertical="center"/>
    </xf>
    <xf numFmtId="0" fontId="47" fillId="0" borderId="27" xfId="0" applyFont="1" applyBorder="1" applyAlignment="1">
      <alignment horizontal="center" vertical="center"/>
    </xf>
    <xf numFmtId="0" fontId="30" fillId="0" borderId="27" xfId="0" applyFont="1" applyBorder="1" applyAlignment="1" applyProtection="1">
      <alignment vertical="center"/>
      <protection locked="0"/>
    </xf>
    <xf numFmtId="0" fontId="10" fillId="0" borderId="26" xfId="0" applyFont="1" applyBorder="1" applyAlignment="1">
      <alignment horizontal="center"/>
    </xf>
    <xf numFmtId="0" fontId="29" fillId="0" borderId="25" xfId="0" applyFont="1" applyBorder="1" applyAlignment="1" applyProtection="1">
      <alignment horizontal="left" vertical="center"/>
      <protection locked="0"/>
    </xf>
    <xf numFmtId="0" fontId="0" fillId="0" borderId="25" xfId="0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Border="1"/>
    <xf numFmtId="0" fontId="47" fillId="0" borderId="21" xfId="0" applyFont="1" applyBorder="1" applyAlignment="1">
      <alignment horizontal="center" vertical="top"/>
    </xf>
    <xf numFmtId="0" fontId="0" fillId="0" borderId="29" xfId="0" applyBorder="1" applyAlignment="1">
      <alignment horizontal="center"/>
    </xf>
    <xf numFmtId="0" fontId="22" fillId="0" borderId="29" xfId="0" applyFont="1" applyBorder="1" applyAlignment="1" applyProtection="1">
      <alignment horizontal="center" vertical="center"/>
      <protection locked="0"/>
    </xf>
    <xf numFmtId="0" fontId="25" fillId="0" borderId="10" xfId="0" applyFont="1" applyBorder="1"/>
    <xf numFmtId="0" fontId="0" fillId="0" borderId="10" xfId="0" applyBorder="1" applyAlignment="1">
      <alignment horizontal="center"/>
    </xf>
    <xf numFmtId="0" fontId="20" fillId="0" borderId="11" xfId="0" applyFont="1" applyBorder="1"/>
    <xf numFmtId="0" fontId="47" fillId="0" borderId="0" xfId="0" applyFont="1"/>
    <xf numFmtId="0" fontId="47" fillId="0" borderId="15" xfId="0" applyFont="1" applyBorder="1"/>
    <xf numFmtId="0" fontId="0" fillId="0" borderId="30" xfId="0" applyBorder="1" applyAlignment="1">
      <alignment horizontal="center"/>
    </xf>
    <xf numFmtId="0" fontId="0" fillId="0" borderId="30" xfId="0" applyBorder="1"/>
    <xf numFmtId="0" fontId="25" fillId="0" borderId="0" xfId="0" applyFont="1" applyAlignment="1">
      <alignment horizontal="center"/>
    </xf>
    <xf numFmtId="0" fontId="25" fillId="0" borderId="0" xfId="0" applyFont="1"/>
    <xf numFmtId="14" fontId="25" fillId="0" borderId="0" xfId="0" applyNumberFormat="1" applyFont="1" applyAlignment="1">
      <alignment horizontal="left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28" xfId="0" applyBorder="1" applyAlignment="1">
      <alignment vertical="top"/>
    </xf>
    <xf numFmtId="0" fontId="0" fillId="0" borderId="18" xfId="0" applyBorder="1" applyAlignment="1">
      <alignment vertical="center"/>
    </xf>
    <xf numFmtId="0" fontId="23" fillId="0" borderId="38" xfId="0" applyFont="1" applyBorder="1" applyAlignment="1">
      <alignment vertical="center"/>
    </xf>
    <xf numFmtId="0" fontId="0" fillId="0" borderId="39" xfId="0" applyBorder="1" applyAlignment="1">
      <alignment vertical="center"/>
    </xf>
    <xf numFmtId="0" fontId="20" fillId="0" borderId="40" xfId="0" applyFont="1" applyBorder="1" applyAlignment="1">
      <alignment vertical="center"/>
    </xf>
    <xf numFmtId="0" fontId="0" fillId="0" borderId="28" xfId="0" applyBorder="1" applyAlignment="1">
      <alignment vertical="center"/>
    </xf>
    <xf numFmtId="0" fontId="27" fillId="0" borderId="39" xfId="0" applyFont="1" applyBorder="1" applyAlignment="1">
      <alignment vertical="center"/>
    </xf>
    <xf numFmtId="0" fontId="27" fillId="0" borderId="28" xfId="0" applyFont="1" applyBorder="1" applyAlignment="1">
      <alignment vertical="center"/>
    </xf>
    <xf numFmtId="0" fontId="27" fillId="0" borderId="42" xfId="0" applyFont="1" applyBorder="1" applyAlignment="1">
      <alignment vertical="center"/>
    </xf>
    <xf numFmtId="0" fontId="28" fillId="0" borderId="28" xfId="0" applyFont="1" applyBorder="1" applyAlignment="1">
      <alignment vertical="center"/>
    </xf>
    <xf numFmtId="0" fontId="0" fillId="0" borderId="42" xfId="0" applyBorder="1" applyAlignment="1">
      <alignment vertical="center"/>
    </xf>
    <xf numFmtId="0" fontId="32" fillId="0" borderId="18" xfId="0" applyFont="1" applyBorder="1" applyAlignment="1">
      <alignment horizontal="left" vertical="center"/>
    </xf>
    <xf numFmtId="0" fontId="29" fillId="0" borderId="28" xfId="0" applyFont="1" applyBorder="1" applyAlignment="1" applyProtection="1">
      <alignment horizontal="left" vertical="center"/>
      <protection locked="0"/>
    </xf>
    <xf numFmtId="0" fontId="29" fillId="0" borderId="42" xfId="0" applyFont="1" applyBorder="1" applyAlignment="1" applyProtection="1">
      <alignment horizontal="left" vertical="center"/>
      <protection locked="0"/>
    </xf>
    <xf numFmtId="0" fontId="29" fillId="0" borderId="39" xfId="0" applyFont="1" applyBorder="1" applyAlignment="1" applyProtection="1">
      <alignment horizontal="left" vertical="center"/>
      <protection locked="0"/>
    </xf>
    <xf numFmtId="0" fontId="25" fillId="0" borderId="40" xfId="0" applyFont="1" applyBorder="1" applyAlignment="1">
      <alignment horizontal="left" vertical="center" wrapText="1"/>
    </xf>
    <xf numFmtId="0" fontId="0" fillId="0" borderId="30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5" xfId="0" applyBorder="1"/>
    <xf numFmtId="0" fontId="0" fillId="0" borderId="36" xfId="0" applyBorder="1"/>
    <xf numFmtId="0" fontId="0" fillId="0" borderId="36" xfId="0" applyBorder="1" applyAlignment="1">
      <alignment horizontal="center"/>
    </xf>
    <xf numFmtId="0" fontId="29" fillId="0" borderId="36" xfId="0" applyFont="1" applyBorder="1" applyAlignment="1" applyProtection="1">
      <alignment horizontal="left" vertical="center"/>
      <protection locked="0"/>
    </xf>
    <xf numFmtId="0" fontId="0" fillId="0" borderId="46" xfId="0" applyBorder="1"/>
    <xf numFmtId="0" fontId="36" fillId="0" borderId="40" xfId="0" applyFont="1" applyBorder="1"/>
    <xf numFmtId="0" fontId="0" fillId="0" borderId="42" xfId="0" applyBorder="1"/>
    <xf numFmtId="0" fontId="0" fillId="0" borderId="20" xfId="0" applyBorder="1"/>
    <xf numFmtId="0" fontId="25" fillId="0" borderId="38" xfId="0" applyFont="1" applyBorder="1" applyAlignment="1">
      <alignment horizontal="left" vertical="top" wrapText="1"/>
    </xf>
    <xf numFmtId="0" fontId="29" fillId="0" borderId="26" xfId="0" applyFont="1" applyBorder="1" applyAlignment="1">
      <alignment horizontal="left" vertical="top" wrapText="1"/>
    </xf>
    <xf numFmtId="0" fontId="25" fillId="0" borderId="26" xfId="0" applyFont="1" applyBorder="1" applyAlignment="1">
      <alignment horizontal="left" vertical="top" wrapText="1"/>
    </xf>
    <xf numFmtId="0" fontId="0" fillId="0" borderId="26" xfId="0" applyBorder="1"/>
    <xf numFmtId="0" fontId="25" fillId="0" borderId="18" xfId="0" applyFont="1" applyBorder="1"/>
    <xf numFmtId="0" fontId="26" fillId="0" borderId="38" xfId="0" applyFont="1" applyBorder="1"/>
    <xf numFmtId="0" fontId="0" fillId="0" borderId="28" xfId="0" applyBorder="1" applyAlignment="1">
      <alignment horizontal="center" vertical="center"/>
    </xf>
    <xf numFmtId="0" fontId="0" fillId="0" borderId="43" xfId="0" applyBorder="1"/>
    <xf numFmtId="0" fontId="0" fillId="0" borderId="47" xfId="0" applyBorder="1"/>
    <xf numFmtId="0" fontId="0" fillId="0" borderId="44" xfId="0" applyBorder="1"/>
    <xf numFmtId="0" fontId="0" fillId="0" borderId="29" xfId="0" applyBorder="1" applyAlignment="1" applyProtection="1">
      <alignment horizontal="center"/>
      <protection locked="0"/>
    </xf>
    <xf numFmtId="0" fontId="0" fillId="0" borderId="49" xfId="0" applyBorder="1" applyAlignment="1" applyProtection="1">
      <alignment horizontal="center"/>
      <protection locked="0"/>
    </xf>
    <xf numFmtId="0" fontId="0" fillId="0" borderId="50" xfId="0" applyBorder="1" applyAlignment="1" applyProtection="1">
      <alignment wrapText="1"/>
      <protection locked="0"/>
    </xf>
    <xf numFmtId="0" fontId="0" fillId="0" borderId="52" xfId="0" applyBorder="1" applyProtection="1">
      <protection locked="0"/>
    </xf>
    <xf numFmtId="0" fontId="0" fillId="0" borderId="19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2" fontId="0" fillId="0" borderId="29" xfId="0" applyNumberFormat="1" applyBorder="1" applyAlignment="1" applyProtection="1">
      <alignment horizontal="center"/>
      <protection locked="0"/>
    </xf>
    <xf numFmtId="2" fontId="0" fillId="0" borderId="48" xfId="0" applyNumberFormat="1" applyBorder="1" applyAlignment="1" applyProtection="1">
      <alignment horizontal="center"/>
      <protection locked="0"/>
    </xf>
    <xf numFmtId="0" fontId="0" fillId="24" borderId="11" xfId="0" applyFill="1" applyBorder="1" applyAlignment="1">
      <alignment vertical="center"/>
    </xf>
    <xf numFmtId="0" fontId="32" fillId="0" borderId="41" xfId="0" applyFont="1" applyBorder="1"/>
    <xf numFmtId="0" fontId="20" fillId="0" borderId="16" xfId="0" applyFont="1" applyBorder="1"/>
    <xf numFmtId="0" fontId="10" fillId="0" borderId="49" xfId="0" applyFont="1" applyBorder="1" applyAlignment="1" applyProtection="1">
      <alignment horizontal="center"/>
      <protection locked="0"/>
    </xf>
    <xf numFmtId="0" fontId="10" fillId="0" borderId="10" xfId="0" applyFont="1" applyBorder="1" applyAlignment="1">
      <alignment vertical="center"/>
    </xf>
    <xf numFmtId="0" fontId="34" fillId="0" borderId="0" xfId="0" applyFont="1" applyAlignment="1" applyProtection="1">
      <alignment horizontal="right" vertical="center"/>
      <protection locked="0"/>
    </xf>
    <xf numFmtId="0" fontId="29" fillId="0" borderId="0" xfId="0" applyFont="1" applyAlignment="1" applyProtection="1">
      <alignment horizontal="right" vertical="center"/>
      <protection locked="0"/>
    </xf>
    <xf numFmtId="0" fontId="29" fillId="0" borderId="36" xfId="0" applyFont="1" applyBorder="1" applyAlignment="1">
      <alignment vertical="center"/>
    </xf>
    <xf numFmtId="0" fontId="30" fillId="0" borderId="36" xfId="0" applyFont="1" applyBorder="1" applyAlignment="1">
      <alignment horizontal="center" vertical="center"/>
    </xf>
    <xf numFmtId="0" fontId="29" fillId="0" borderId="30" xfId="0" applyFont="1" applyBorder="1" applyAlignment="1">
      <alignment vertical="center"/>
    </xf>
    <xf numFmtId="0" fontId="0" fillId="27" borderId="10" xfId="0" applyFill="1" applyBorder="1" applyAlignment="1">
      <alignment horizontal="left" vertical="center"/>
    </xf>
    <xf numFmtId="0" fontId="22" fillId="27" borderId="10" xfId="0" applyFont="1" applyFill="1" applyBorder="1" applyAlignment="1" applyProtection="1">
      <alignment horizontal="center" vertical="center"/>
      <protection locked="0"/>
    </xf>
    <xf numFmtId="0" fontId="0" fillId="27" borderId="10" xfId="0" applyFill="1" applyBorder="1" applyAlignment="1">
      <alignment vertical="center"/>
    </xf>
    <xf numFmtId="0" fontId="0" fillId="27" borderId="10" xfId="0" applyFill="1" applyBorder="1" applyAlignment="1">
      <alignment horizontal="center" vertical="center"/>
    </xf>
    <xf numFmtId="0" fontId="22" fillId="28" borderId="19" xfId="0" applyFont="1" applyFill="1" applyBorder="1" applyAlignment="1" applyProtection="1">
      <alignment horizontal="center" vertical="center"/>
      <protection locked="0"/>
    </xf>
    <xf numFmtId="0" fontId="0" fillId="28" borderId="0" xfId="0" applyFill="1" applyAlignment="1">
      <alignment vertical="center"/>
    </xf>
    <xf numFmtId="0" fontId="22" fillId="28" borderId="20" xfId="0" applyFont="1" applyFill="1" applyBorder="1" applyAlignment="1" applyProtection="1">
      <alignment horizontal="center" vertical="center"/>
      <protection locked="0"/>
    </xf>
    <xf numFmtId="0" fontId="29" fillId="0" borderId="25" xfId="0" applyFont="1" applyBorder="1" applyAlignment="1">
      <alignment horizontal="center" vertical="top" wrapText="1"/>
    </xf>
    <xf numFmtId="0" fontId="28" fillId="0" borderId="15" xfId="0" applyFont="1" applyBorder="1" applyAlignment="1">
      <alignment horizontal="center" vertical="top" wrapText="1"/>
    </xf>
    <xf numFmtId="0" fontId="28" fillId="0" borderId="25" xfId="0" applyFont="1" applyBorder="1" applyAlignment="1">
      <alignment horizontal="center" vertical="top" wrapText="1"/>
    </xf>
    <xf numFmtId="0" fontId="5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0" fillId="27" borderId="38" xfId="0" applyFill="1" applyBorder="1" applyAlignment="1">
      <alignment vertical="center"/>
    </xf>
    <xf numFmtId="0" fontId="0" fillId="27" borderId="11" xfId="0" applyFill="1" applyBorder="1" applyAlignment="1">
      <alignment vertical="center"/>
    </xf>
    <xf numFmtId="0" fontId="30" fillId="0" borderId="14" xfId="0" applyFont="1" applyBorder="1" applyAlignment="1">
      <alignment vertical="center"/>
    </xf>
    <xf numFmtId="0" fontId="25" fillId="0" borderId="36" xfId="0" applyFont="1" applyBorder="1" applyAlignment="1">
      <alignment horizontal="left" vertical="center" wrapText="1"/>
    </xf>
    <xf numFmtId="0" fontId="0" fillId="0" borderId="36" xfId="0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41" fillId="0" borderId="45" xfId="0" applyFont="1" applyBorder="1" applyAlignment="1">
      <alignment horizontal="left" vertical="center"/>
    </xf>
    <xf numFmtId="0" fontId="29" fillId="0" borderId="36" xfId="0" applyFont="1" applyBorder="1" applyAlignment="1">
      <alignment horizontal="center" vertical="center"/>
    </xf>
    <xf numFmtId="0" fontId="41" fillId="0" borderId="43" xfId="0" applyFont="1" applyBorder="1" applyAlignment="1">
      <alignment horizontal="left" vertical="center"/>
    </xf>
    <xf numFmtId="0" fontId="10" fillId="0" borderId="11" xfId="0" applyFont="1" applyBorder="1"/>
    <xf numFmtId="0" fontId="20" fillId="0" borderId="53" xfId="0" applyFont="1" applyBorder="1"/>
    <xf numFmtId="0" fontId="0" fillId="0" borderId="53" xfId="0" applyBorder="1"/>
    <xf numFmtId="0" fontId="0" fillId="0" borderId="51" xfId="0" applyBorder="1"/>
    <xf numFmtId="0" fontId="26" fillId="0" borderId="18" xfId="0" applyFont="1" applyBorder="1"/>
    <xf numFmtId="0" fontId="10" fillId="0" borderId="53" xfId="0" applyFont="1" applyBorder="1"/>
    <xf numFmtId="0" fontId="41" fillId="0" borderId="11" xfId="0" applyFont="1" applyBorder="1" applyAlignment="1">
      <alignment vertical="center"/>
    </xf>
    <xf numFmtId="0" fontId="29" fillId="0" borderId="15" xfId="0" applyFont="1" applyBorder="1" applyAlignment="1">
      <alignment horizontal="center" vertical="top" wrapText="1"/>
    </xf>
    <xf numFmtId="3" fontId="10" fillId="0" borderId="10" xfId="0" applyNumberFormat="1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23" fillId="0" borderId="11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36" fillId="0" borderId="0" xfId="0" applyFont="1"/>
    <xf numFmtId="0" fontId="26" fillId="0" borderId="10" xfId="0" applyFont="1" applyBorder="1"/>
    <xf numFmtId="0" fontId="25" fillId="0" borderId="11" xfId="0" applyFont="1" applyBorder="1" applyAlignment="1">
      <alignment horizontal="left" vertical="top" wrapText="1"/>
    </xf>
    <xf numFmtId="11" fontId="10" fillId="0" borderId="10" xfId="0" applyNumberFormat="1" applyFont="1" applyBorder="1" applyAlignment="1" applyProtection="1">
      <alignment horizontal="center"/>
      <protection locked="0"/>
    </xf>
    <xf numFmtId="0" fontId="26" fillId="0" borderId="11" xfId="0" applyFont="1" applyBorder="1"/>
    <xf numFmtId="0" fontId="10" fillId="0" borderId="19" xfId="0" applyFont="1" applyBorder="1" applyAlignment="1" applyProtection="1">
      <alignment horizontal="center"/>
      <protection locked="0"/>
    </xf>
    <xf numFmtId="11" fontId="10" fillId="0" borderId="19" xfId="0" applyNumberFormat="1" applyFont="1" applyBorder="1" applyAlignment="1" applyProtection="1">
      <alignment horizontal="center"/>
      <protection locked="0"/>
    </xf>
    <xf numFmtId="0" fontId="10" fillId="0" borderId="13" xfId="0" applyFont="1" applyBorder="1" applyAlignment="1" applyProtection="1">
      <alignment horizontal="center"/>
      <protection locked="0"/>
    </xf>
    <xf numFmtId="0" fontId="32" fillId="0" borderId="16" xfId="0" applyFont="1" applyBorder="1"/>
    <xf numFmtId="0" fontId="25" fillId="0" borderId="27" xfId="0" applyFont="1" applyBorder="1" applyAlignment="1">
      <alignment horizontal="left" vertical="top" wrapText="1"/>
    </xf>
    <xf numFmtId="0" fontId="0" fillId="0" borderId="55" xfId="0" applyBorder="1"/>
    <xf numFmtId="0" fontId="25" fillId="0" borderId="28" xfId="0" applyFont="1" applyBorder="1" applyAlignment="1">
      <alignment horizontal="left" vertical="top" wrapText="1"/>
    </xf>
    <xf numFmtId="0" fontId="22" fillId="0" borderId="28" xfId="0" applyFont="1" applyBorder="1" applyAlignment="1" applyProtection="1">
      <alignment horizontal="center" vertical="center"/>
      <protection locked="0"/>
    </xf>
    <xf numFmtId="0" fontId="56" fillId="27" borderId="0" xfId="0" applyFont="1" applyFill="1"/>
    <xf numFmtId="3" fontId="57" fillId="0" borderId="49" xfId="0" applyNumberFormat="1" applyFont="1" applyBorder="1" applyAlignment="1" applyProtection="1">
      <alignment horizontal="center"/>
      <protection locked="0"/>
    </xf>
    <xf numFmtId="0" fontId="57" fillId="0" borderId="49" xfId="0" applyFont="1" applyBorder="1" applyAlignment="1" applyProtection="1">
      <alignment horizontal="center"/>
      <protection locked="0"/>
    </xf>
    <xf numFmtId="11" fontId="57" fillId="0" borderId="49" xfId="0" applyNumberFormat="1" applyFont="1" applyBorder="1" applyAlignment="1" applyProtection="1">
      <alignment horizontal="center"/>
      <protection locked="0"/>
    </xf>
    <xf numFmtId="0" fontId="0" fillId="0" borderId="12" xfId="0" applyFont="1" applyBorder="1"/>
    <xf numFmtId="0" fontId="0" fillId="0" borderId="14" xfId="0" applyFont="1" applyBorder="1"/>
    <xf numFmtId="0" fontId="0" fillId="0" borderId="0" xfId="0" applyBorder="1"/>
    <xf numFmtId="0" fontId="20" fillId="0" borderId="0" xfId="0" applyFont="1" applyBorder="1"/>
    <xf numFmtId="0" fontId="0" fillId="0" borderId="0" xfId="0" applyBorder="1" applyAlignment="1">
      <alignment vertical="top"/>
    </xf>
    <xf numFmtId="0" fontId="10" fillId="0" borderId="52" xfId="0" applyFont="1" applyBorder="1" applyProtection="1">
      <protection locked="0"/>
    </xf>
    <xf numFmtId="0" fontId="10" fillId="0" borderId="53" xfId="0" applyFont="1" applyBorder="1"/>
    <xf numFmtId="0" fontId="10" fillId="0" borderId="10" xfId="0" applyFont="1" applyBorder="1" applyAlignment="1" applyProtection="1">
      <alignment horizontal="center"/>
      <protection locked="0"/>
    </xf>
    <xf numFmtId="0" fontId="10" fillId="0" borderId="53" xfId="0" applyFont="1" applyBorder="1"/>
    <xf numFmtId="0" fontId="10" fillId="0" borderId="10" xfId="0" applyFont="1" applyBorder="1" applyAlignment="1" applyProtection="1">
      <alignment horizontal="center"/>
      <protection locked="0"/>
    </xf>
    <xf numFmtId="0" fontId="0" fillId="0" borderId="29" xfId="0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20" fillId="0" borderId="0" xfId="0" applyFont="1" applyAlignment="1"/>
    <xf numFmtId="49" fontId="20" fillId="0" borderId="0" xfId="0" applyNumberFormat="1" applyFont="1" applyAlignment="1"/>
    <xf numFmtId="0" fontId="10" fillId="0" borderId="53" xfId="0" applyFont="1" applyBorder="1"/>
    <xf numFmtId="0" fontId="10" fillId="0" borderId="1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53" xfId="0" applyFont="1" applyBorder="1"/>
    <xf numFmtId="0" fontId="10" fillId="0" borderId="19" xfId="0" applyFont="1" applyBorder="1" applyAlignment="1" applyProtection="1">
      <protection locked="0"/>
    </xf>
    <xf numFmtId="0" fontId="0" fillId="0" borderId="19" xfId="0" applyBorder="1" applyAlignment="1" applyProtection="1">
      <protection locked="0"/>
    </xf>
    <xf numFmtId="0" fontId="10" fillId="0" borderId="53" xfId="0" applyFont="1" applyBorder="1"/>
    <xf numFmtId="0" fontId="0" fillId="0" borderId="52" xfId="0" applyBorder="1" applyAlignment="1" applyProtection="1">
      <alignment horizontal="center"/>
      <protection locked="0"/>
    </xf>
    <xf numFmtId="0" fontId="0" fillId="0" borderId="53" xfId="0" applyBorder="1" applyAlignment="1">
      <alignment horizontal="center"/>
    </xf>
    <xf numFmtId="0" fontId="0" fillId="0" borderId="51" xfId="0" applyBorder="1" applyAlignment="1">
      <alignment horizontal="center"/>
    </xf>
    <xf numFmtId="49" fontId="0" fillId="0" borderId="18" xfId="0" applyNumberFormat="1" applyBorder="1" applyAlignment="1" applyProtection="1">
      <alignment horizontal="left"/>
      <protection locked="0"/>
    </xf>
    <xf numFmtId="49" fontId="0" fillId="0" borderId="19" xfId="0" applyNumberFormat="1" applyBorder="1" applyAlignment="1" applyProtection="1">
      <alignment horizontal="left"/>
      <protection locked="0"/>
    </xf>
    <xf numFmtId="0" fontId="29" fillId="0" borderId="30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14" fontId="29" fillId="0" borderId="36" xfId="0" applyNumberFormat="1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 vertical="center"/>
    </xf>
    <xf numFmtId="0" fontId="28" fillId="0" borderId="41" xfId="0" applyFont="1" applyBorder="1" applyAlignment="1">
      <alignment horizontal="left" vertical="center" wrapText="1"/>
    </xf>
    <xf numFmtId="0" fontId="28" fillId="0" borderId="16" xfId="0" applyFont="1" applyBorder="1" applyAlignment="1">
      <alignment horizontal="left" vertical="center" wrapText="1"/>
    </xf>
    <xf numFmtId="0" fontId="28" fillId="0" borderId="42" xfId="0" applyFont="1" applyBorder="1" applyAlignment="1">
      <alignment horizontal="left" vertical="center" wrapText="1"/>
    </xf>
    <xf numFmtId="0" fontId="28" fillId="0" borderId="38" xfId="0" applyFont="1" applyBorder="1" applyAlignment="1">
      <alignment horizontal="left" vertical="center"/>
    </xf>
    <xf numFmtId="0" fontId="28" fillId="0" borderId="11" xfId="0" applyFont="1" applyBorder="1" applyAlignment="1">
      <alignment horizontal="left" vertical="center"/>
    </xf>
    <xf numFmtId="0" fontId="28" fillId="0" borderId="39" xfId="0" applyFont="1" applyBorder="1" applyAlignment="1">
      <alignment horizontal="left" vertical="center"/>
    </xf>
    <xf numFmtId="0" fontId="29" fillId="0" borderId="30" xfId="0" applyFont="1" applyBorder="1" applyAlignment="1" applyProtection="1">
      <alignment horizontal="center" vertical="center"/>
      <protection locked="0"/>
    </xf>
    <xf numFmtId="0" fontId="29" fillId="0" borderId="44" xfId="0" applyFont="1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0" fillId="0" borderId="56" xfId="0" applyBorder="1" applyProtection="1">
      <protection locked="0"/>
    </xf>
    <xf numFmtId="0" fontId="0" fillId="0" borderId="57" xfId="0" applyBorder="1" applyProtection="1">
      <protection locked="0"/>
    </xf>
    <xf numFmtId="0" fontId="29" fillId="0" borderId="40" xfId="0" applyFont="1" applyBorder="1" applyAlignment="1">
      <alignment horizontal="center" vertical="top"/>
    </xf>
    <xf numFmtId="0" fontId="29" fillId="0" borderId="15" xfId="0" applyFont="1" applyBorder="1" applyAlignment="1">
      <alignment horizontal="center" vertical="top"/>
    </xf>
    <xf numFmtId="0" fontId="47" fillId="0" borderId="0" xfId="0" applyFont="1" applyAlignment="1">
      <alignment horizontal="right"/>
    </xf>
    <xf numFmtId="0" fontId="0" fillId="0" borderId="29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17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0" fillId="0" borderId="19" xfId="0" applyBorder="1" applyAlignment="1" applyProtection="1">
      <protection locked="0"/>
    </xf>
    <xf numFmtId="0" fontId="0" fillId="0" borderId="51" xfId="0" applyBorder="1" applyProtection="1">
      <protection locked="0"/>
    </xf>
    <xf numFmtId="0" fontId="0" fillId="0" borderId="35" xfId="0" applyBorder="1" applyProtection="1">
      <protection locked="0"/>
    </xf>
    <xf numFmtId="0" fontId="0" fillId="0" borderId="58" xfId="0" applyBorder="1" applyProtection="1">
      <protection locked="0"/>
    </xf>
    <xf numFmtId="49" fontId="0" fillId="0" borderId="48" xfId="0" applyNumberFormat="1" applyBorder="1" applyAlignment="1" applyProtection="1">
      <alignment horizontal="center"/>
      <protection locked="0"/>
    </xf>
    <xf numFmtId="49" fontId="0" fillId="0" borderId="17" xfId="0" applyNumberFormat="1" applyBorder="1" applyAlignment="1" applyProtection="1">
      <alignment horizontal="center"/>
      <protection locked="0"/>
    </xf>
    <xf numFmtId="49" fontId="0" fillId="0" borderId="19" xfId="0" applyNumberFormat="1" applyBorder="1" applyAlignment="1" applyProtection="1">
      <alignment horizontal="center"/>
      <protection locked="0"/>
    </xf>
    <xf numFmtId="49" fontId="10" fillId="0" borderId="18" xfId="0" applyNumberFormat="1" applyFont="1" applyBorder="1" applyAlignment="1" applyProtection="1">
      <alignment horizontal="left"/>
      <protection locked="0"/>
    </xf>
    <xf numFmtId="49" fontId="10" fillId="0" borderId="19" xfId="0" applyNumberFormat="1" applyFont="1" applyBorder="1" applyAlignment="1" applyProtection="1">
      <alignment horizontal="left"/>
      <protection locked="0"/>
    </xf>
    <xf numFmtId="0" fontId="0" fillId="0" borderId="52" xfId="0" applyBorder="1" applyAlignment="1" applyProtection="1">
      <alignment horizontal="center"/>
      <protection locked="0"/>
    </xf>
    <xf numFmtId="0" fontId="20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34" xfId="0" applyBorder="1" applyProtection="1">
      <protection locked="0"/>
    </xf>
    <xf numFmtId="0" fontId="0" fillId="0" borderId="37" xfId="0" applyBorder="1" applyProtection="1">
      <protection locked="0"/>
    </xf>
    <xf numFmtId="0" fontId="0" fillId="0" borderId="0" xfId="0" applyAlignment="1">
      <alignment horizontal="center"/>
    </xf>
    <xf numFmtId="14" fontId="0" fillId="0" borderId="0" xfId="0" applyNumberFormat="1"/>
    <xf numFmtId="14" fontId="25" fillId="0" borderId="0" xfId="0" applyNumberFormat="1" applyFont="1" applyAlignment="1">
      <alignment horizontal="center"/>
    </xf>
    <xf numFmtId="0" fontId="53" fillId="0" borderId="0" xfId="0" applyFont="1" applyAlignment="1">
      <alignment horizontal="center" shrinkToFit="1"/>
    </xf>
    <xf numFmtId="49" fontId="0" fillId="0" borderId="29" xfId="0" applyNumberFormat="1" applyBorder="1" applyAlignment="1" applyProtection="1">
      <alignment horizontal="center"/>
      <protection locked="0"/>
    </xf>
    <xf numFmtId="0" fontId="10" fillId="0" borderId="17" xfId="0" applyFont="1" applyBorder="1" applyAlignment="1" applyProtection="1">
      <protection locked="0"/>
    </xf>
    <xf numFmtId="0" fontId="10" fillId="0" borderId="10" xfId="0" applyFont="1" applyBorder="1" applyAlignment="1" applyProtection="1">
      <protection locked="0"/>
    </xf>
    <xf numFmtId="0" fontId="10" fillId="0" borderId="19" xfId="0" applyFont="1" applyBorder="1" applyAlignment="1" applyProtection="1">
      <protection locked="0"/>
    </xf>
    <xf numFmtId="0" fontId="29" fillId="0" borderId="25" xfId="0" applyFont="1" applyBorder="1" applyAlignment="1">
      <alignment horizontal="center" vertical="top" wrapText="1"/>
    </xf>
    <xf numFmtId="0" fontId="0" fillId="0" borderId="53" xfId="0" applyBorder="1" applyProtection="1">
      <protection locked="0"/>
    </xf>
    <xf numFmtId="49" fontId="42" fillId="0" borderId="18" xfId="0" applyNumberFormat="1" applyFont="1" applyBorder="1" applyAlignment="1" applyProtection="1">
      <alignment horizontal="left"/>
      <protection locked="0"/>
    </xf>
    <xf numFmtId="49" fontId="42" fillId="0" borderId="19" xfId="0" applyNumberFormat="1" applyFont="1" applyBorder="1" applyAlignment="1" applyProtection="1">
      <alignment horizontal="left"/>
      <protection locked="0"/>
    </xf>
    <xf numFmtId="0" fontId="29" fillId="0" borderId="0" xfId="0" applyFont="1" applyAlignment="1">
      <alignment horizontal="center" vertical="center"/>
    </xf>
    <xf numFmtId="0" fontId="10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40" fillId="0" borderId="22" xfId="0" applyFont="1" applyBorder="1" applyAlignment="1">
      <alignment horizontal="center" vertical="center" wrapText="1"/>
    </xf>
    <xf numFmtId="0" fontId="40" fillId="0" borderId="42" xfId="0" applyFont="1" applyBorder="1" applyAlignment="1">
      <alignment horizontal="center" vertical="center" wrapText="1"/>
    </xf>
    <xf numFmtId="0" fontId="40" fillId="0" borderId="14" xfId="0" applyFont="1" applyBorder="1" applyAlignment="1">
      <alignment horizontal="center" vertical="center" wrapText="1"/>
    </xf>
    <xf numFmtId="0" fontId="40" fillId="0" borderId="28" xfId="0" applyFont="1" applyBorder="1" applyAlignment="1">
      <alignment horizontal="center" vertical="center" wrapText="1"/>
    </xf>
    <xf numFmtId="0" fontId="29" fillId="0" borderId="25" xfId="0" applyFont="1" applyBorder="1" applyAlignment="1">
      <alignment horizontal="center" wrapText="1"/>
    </xf>
    <xf numFmtId="0" fontId="29" fillId="0" borderId="15" xfId="0" applyFont="1" applyBorder="1" applyAlignment="1">
      <alignment horizontal="center" vertical="top" wrapText="1"/>
    </xf>
    <xf numFmtId="0" fontId="26" fillId="0" borderId="11" xfId="0" applyFont="1" applyBorder="1" applyAlignment="1">
      <alignment horizontal="center" vertical="top" wrapText="1"/>
    </xf>
    <xf numFmtId="0" fontId="26" fillId="0" borderId="12" xfId="0" applyFont="1" applyBorder="1" applyAlignment="1">
      <alignment horizontal="center" vertical="top" wrapText="1"/>
    </xf>
    <xf numFmtId="0" fontId="26" fillId="0" borderId="0" xfId="0" applyFont="1" applyAlignment="1">
      <alignment horizontal="center" vertical="top" wrapText="1"/>
    </xf>
    <xf numFmtId="0" fontId="26" fillId="0" borderId="15" xfId="0" applyFont="1" applyBorder="1" applyAlignment="1">
      <alignment horizontal="center" vertical="top" wrapText="1"/>
    </xf>
    <xf numFmtId="0" fontId="32" fillId="0" borderId="14" xfId="0" applyFont="1" applyBorder="1" applyAlignment="1">
      <alignment horizontal="center" vertical="top" wrapText="1"/>
    </xf>
    <xf numFmtId="0" fontId="32" fillId="0" borderId="0" xfId="0" applyFont="1" applyAlignment="1">
      <alignment horizontal="center" vertical="top" wrapText="1"/>
    </xf>
    <xf numFmtId="0" fontId="32" fillId="0" borderId="28" xfId="0" applyFont="1" applyBorder="1" applyAlignment="1">
      <alignment horizontal="center" vertical="top" wrapText="1"/>
    </xf>
    <xf numFmtId="0" fontId="22" fillId="0" borderId="40" xfId="0" applyFont="1" applyBorder="1" applyAlignment="1" applyProtection="1">
      <alignment horizontal="center" vertical="center"/>
      <protection locked="0"/>
    </xf>
    <xf numFmtId="0" fontId="22" fillId="0" borderId="28" xfId="0" applyFont="1" applyBorder="1" applyAlignment="1" applyProtection="1">
      <alignment horizontal="center" vertical="center"/>
      <protection locked="0"/>
    </xf>
    <xf numFmtId="0" fontId="29" fillId="0" borderId="14" xfId="0" applyFont="1" applyBorder="1" applyAlignment="1">
      <alignment horizontal="center" vertical="top" wrapText="1"/>
    </xf>
    <xf numFmtId="0" fontId="29" fillId="0" borderId="0" xfId="0" applyFont="1" applyAlignment="1">
      <alignment horizontal="center" vertical="top" wrapText="1"/>
    </xf>
    <xf numFmtId="0" fontId="33" fillId="0" borderId="26" xfId="0" applyFont="1" applyBorder="1" applyAlignment="1">
      <alignment horizontal="center" vertical="top" wrapText="1"/>
    </xf>
    <xf numFmtId="0" fontId="39" fillId="0" borderId="25" xfId="0" applyFont="1" applyBorder="1" applyAlignment="1">
      <alignment horizontal="center" vertical="center" textRotation="180" wrapText="1"/>
    </xf>
    <xf numFmtId="0" fontId="39" fillId="0" borderId="54" xfId="0" applyFont="1" applyBorder="1" applyAlignment="1">
      <alignment horizontal="center" vertical="center" textRotation="180" wrapText="1"/>
    </xf>
    <xf numFmtId="0" fontId="26" fillId="0" borderId="25" xfId="0" applyFont="1" applyBorder="1" applyAlignment="1">
      <alignment horizontal="center" vertical="top" wrapText="1"/>
    </xf>
    <xf numFmtId="0" fontId="29" fillId="0" borderId="28" xfId="0" applyFont="1" applyBorder="1" applyAlignment="1">
      <alignment horizontal="center" vertical="top" wrapText="1"/>
    </xf>
    <xf numFmtId="0" fontId="29" fillId="0" borderId="40" xfId="0" applyFont="1" applyBorder="1" applyAlignment="1">
      <alignment horizontal="center" vertical="top" wrapText="1"/>
    </xf>
    <xf numFmtId="0" fontId="28" fillId="0" borderId="40" xfId="0" applyFont="1" applyBorder="1" applyAlignment="1">
      <alignment horizontal="center" vertical="top" wrapText="1"/>
    </xf>
    <xf numFmtId="0" fontId="28" fillId="0" borderId="15" xfId="0" applyFont="1" applyBorder="1" applyAlignment="1">
      <alignment horizontal="center" vertical="top" wrapText="1"/>
    </xf>
    <xf numFmtId="0" fontId="30" fillId="0" borderId="40" xfId="0" applyFont="1" applyBorder="1" applyAlignment="1">
      <alignment horizontal="center" vertical="top" wrapText="1"/>
    </xf>
    <xf numFmtId="0" fontId="30" fillId="0" borderId="28" xfId="0" applyFont="1" applyBorder="1" applyAlignment="1">
      <alignment horizontal="center" vertical="top" wrapText="1"/>
    </xf>
    <xf numFmtId="0" fontId="28" fillId="0" borderId="25" xfId="0" applyFont="1" applyBorder="1" applyAlignment="1">
      <alignment horizontal="center" vertical="top" wrapText="1"/>
    </xf>
    <xf numFmtId="0" fontId="28" fillId="0" borderId="14" xfId="0" applyFont="1" applyBorder="1" applyAlignment="1">
      <alignment horizontal="center" vertical="top" wrapText="1"/>
    </xf>
    <xf numFmtId="0" fontId="29" fillId="0" borderId="40" xfId="0" applyFont="1" applyBorder="1" applyAlignment="1" applyProtection="1">
      <alignment horizontal="center" vertical="center"/>
      <protection locked="0"/>
    </xf>
    <xf numFmtId="0" fontId="29" fillId="0" borderId="15" xfId="0" applyFont="1" applyBorder="1" applyAlignment="1" applyProtection="1">
      <alignment horizontal="center" vertical="center"/>
      <protection locked="0"/>
    </xf>
    <xf numFmtId="0" fontId="30" fillId="0" borderId="40" xfId="0" applyFont="1" applyBorder="1" applyAlignment="1" applyProtection="1">
      <alignment horizontal="center" vertical="center"/>
      <protection locked="0"/>
    </xf>
    <xf numFmtId="0" fontId="30" fillId="0" borderId="28" xfId="0" applyFont="1" applyBorder="1" applyAlignment="1" applyProtection="1">
      <alignment horizontal="center" vertical="center"/>
      <protection locked="0"/>
    </xf>
    <xf numFmtId="0" fontId="29" fillId="0" borderId="25" xfId="0" applyFont="1" applyBorder="1" applyAlignment="1" applyProtection="1">
      <alignment horizontal="center" vertical="center"/>
      <protection locked="0"/>
    </xf>
    <xf numFmtId="0" fontId="20" fillId="0" borderId="10" xfId="0" applyFont="1" applyBorder="1" applyAlignment="1">
      <alignment horizontal="left"/>
    </xf>
    <xf numFmtId="0" fontId="10" fillId="0" borderId="50" xfId="0" applyFont="1" applyBorder="1"/>
    <xf numFmtId="0" fontId="10" fillId="0" borderId="53" xfId="0" applyFont="1" applyBorder="1"/>
    <xf numFmtId="0" fontId="53" fillId="0" borderId="53" xfId="0" applyFont="1" applyBorder="1" applyAlignment="1">
      <alignment horizontal="center" shrinkToFit="1"/>
    </xf>
    <xf numFmtId="0" fontId="20" fillId="0" borderId="16" xfId="0" applyFont="1" applyBorder="1" applyAlignment="1">
      <alignment horizontal="left"/>
    </xf>
    <xf numFmtId="0" fontId="26" fillId="0" borderId="38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10" fillId="0" borderId="18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2" fillId="0" borderId="38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0" borderId="39" xfId="0" applyFont="1" applyBorder="1" applyAlignment="1">
      <alignment horizontal="center" vertical="center"/>
    </xf>
    <xf numFmtId="0" fontId="32" fillId="0" borderId="41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0" fontId="10" fillId="0" borderId="10" xfId="0" applyFont="1" applyBorder="1" applyAlignment="1" applyProtection="1">
      <alignment horizontal="left"/>
      <protection locked="0"/>
    </xf>
    <xf numFmtId="0" fontId="10" fillId="0" borderId="20" xfId="0" applyFont="1" applyBorder="1" applyAlignment="1" applyProtection="1">
      <alignment horizontal="left"/>
      <protection locked="0"/>
    </xf>
    <xf numFmtId="0" fontId="55" fillId="0" borderId="22" xfId="0" applyFont="1" applyBorder="1" applyAlignment="1">
      <alignment horizontal="center"/>
    </xf>
    <xf numFmtId="0" fontId="37" fillId="0" borderId="16" xfId="0" applyFont="1" applyBorder="1" applyAlignment="1">
      <alignment horizontal="center"/>
    </xf>
    <xf numFmtId="0" fontId="37" fillId="0" borderId="42" xfId="0" applyFont="1" applyBorder="1" applyAlignment="1">
      <alignment horizontal="center"/>
    </xf>
    <xf numFmtId="0" fontId="32" fillId="0" borderId="12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39" xfId="0" applyFont="1" applyBorder="1" applyAlignment="1">
      <alignment horizontal="center"/>
    </xf>
    <xf numFmtId="0" fontId="10" fillId="28" borderId="10" xfId="0" applyFont="1" applyFill="1" applyBorder="1" applyAlignment="1">
      <alignment horizontal="left" vertical="center"/>
    </xf>
    <xf numFmtId="0" fontId="10" fillId="28" borderId="17" xfId="0" applyFont="1" applyFill="1" applyBorder="1" applyAlignment="1">
      <alignment vertical="center"/>
    </xf>
    <xf numFmtId="0" fontId="10" fillId="28" borderId="10" xfId="0" applyFont="1" applyFill="1" applyBorder="1" applyAlignment="1">
      <alignment vertical="center"/>
    </xf>
    <xf numFmtId="0" fontId="0" fillId="28" borderId="17" xfId="0" applyFill="1" applyBorder="1" applyAlignment="1">
      <alignment vertical="center"/>
    </xf>
    <xf numFmtId="0" fontId="0" fillId="28" borderId="10" xfId="0" applyFill="1" applyBorder="1" applyAlignment="1">
      <alignment vertical="center"/>
    </xf>
    <xf numFmtId="0" fontId="29" fillId="0" borderId="40" xfId="0" applyFont="1" applyBorder="1" applyAlignment="1">
      <alignment horizontal="right" vertical="center"/>
    </xf>
    <xf numFmtId="0" fontId="29" fillId="0" borderId="0" xfId="0" applyFont="1" applyAlignment="1">
      <alignment horizontal="right" vertical="center"/>
    </xf>
    <xf numFmtId="0" fontId="29" fillId="0" borderId="14" xfId="0" applyFont="1" applyBorder="1" applyAlignment="1">
      <alignment horizontal="right" vertical="center"/>
    </xf>
    <xf numFmtId="0" fontId="25" fillId="0" borderId="43" xfId="0" applyFont="1" applyBorder="1" applyAlignment="1" applyProtection="1">
      <alignment horizontal="left" vertical="center" wrapText="1"/>
      <protection locked="0"/>
    </xf>
    <xf numFmtId="0" fontId="25" fillId="0" borderId="30" xfId="0" applyFont="1" applyBorder="1" applyAlignment="1" applyProtection="1">
      <alignment horizontal="left" vertical="center" wrapText="1"/>
      <protection locked="0"/>
    </xf>
    <xf numFmtId="0" fontId="28" fillId="0" borderId="40" xfId="0" applyFont="1" applyBorder="1" applyAlignment="1">
      <alignment horizontal="right" vertical="center"/>
    </xf>
    <xf numFmtId="0" fontId="28" fillId="0" borderId="0" xfId="0" applyFont="1" applyAlignment="1">
      <alignment horizontal="right" vertical="center"/>
    </xf>
    <xf numFmtId="0" fontId="28" fillId="0" borderId="14" xfId="0" applyFont="1" applyBorder="1" applyAlignment="1">
      <alignment horizontal="right" vertical="center"/>
    </xf>
    <xf numFmtId="164" fontId="29" fillId="0" borderId="11" xfId="0" applyNumberFormat="1" applyFont="1" applyBorder="1" applyAlignment="1">
      <alignment horizontal="center" vertical="center"/>
    </xf>
    <xf numFmtId="164" fontId="29" fillId="0" borderId="39" xfId="0" applyNumberFormat="1" applyFont="1" applyBorder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5" fillId="0" borderId="40" xfId="0" applyFont="1" applyBorder="1" applyAlignment="1" applyProtection="1">
      <alignment horizontal="left" vertical="center" wrapText="1"/>
      <protection locked="0"/>
    </xf>
    <xf numFmtId="0" fontId="25" fillId="0" borderId="0" xfId="0" applyFont="1" applyAlignment="1" applyProtection="1">
      <alignment horizontal="left" vertical="center" wrapText="1"/>
      <protection locked="0"/>
    </xf>
    <xf numFmtId="0" fontId="29" fillId="0" borderId="59" xfId="0" applyFont="1" applyBorder="1" applyAlignment="1">
      <alignment horizontal="center" vertical="center"/>
    </xf>
    <xf numFmtId="0" fontId="29" fillId="0" borderId="0" xfId="0" applyFont="1" applyBorder="1" applyAlignment="1">
      <alignment horizontal="right" vertical="center"/>
    </xf>
    <xf numFmtId="0" fontId="24" fillId="0" borderId="0" xfId="0" applyFont="1" applyAlignment="1">
      <alignment horizontal="right"/>
    </xf>
    <xf numFmtId="0" fontId="20" fillId="25" borderId="32" xfId="0" applyFont="1" applyFill="1" applyBorder="1" applyAlignment="1" applyProtection="1">
      <alignment horizontal="center" vertical="center"/>
      <protection locked="0"/>
    </xf>
    <xf numFmtId="0" fontId="0" fillId="26" borderId="32" xfId="0" applyFill="1" applyBorder="1" applyAlignment="1">
      <alignment horizontal="left" vertical="center"/>
    </xf>
    <xf numFmtId="0" fontId="29" fillId="0" borderId="59" xfId="0" applyFont="1" applyBorder="1" applyAlignment="1">
      <alignment horizontal="right" vertical="center"/>
    </xf>
    <xf numFmtId="0" fontId="29" fillId="0" borderId="22" xfId="0" applyFont="1" applyBorder="1" applyAlignment="1">
      <alignment horizontal="right" vertical="center"/>
    </xf>
    <xf numFmtId="0" fontId="26" fillId="0" borderId="40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6" fillId="0" borderId="14" xfId="0" applyFont="1" applyBorder="1" applyAlignment="1">
      <alignment horizontal="left" vertical="center" wrapText="1"/>
    </xf>
    <xf numFmtId="0" fontId="31" fillId="0" borderId="12" xfId="0" applyFont="1" applyBorder="1" applyAlignment="1">
      <alignment horizontal="left" vertical="center"/>
    </xf>
    <xf numFmtId="0" fontId="31" fillId="0" borderId="11" xfId="0" applyFont="1" applyBorder="1" applyAlignment="1">
      <alignment horizontal="left" vertical="center"/>
    </xf>
    <xf numFmtId="0" fontId="35" fillId="0" borderId="45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0" fontId="28" fillId="0" borderId="12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0" fillId="27" borderId="10" xfId="0" applyFill="1" applyBorder="1" applyAlignment="1">
      <alignment vertical="center"/>
    </xf>
    <xf numFmtId="0" fontId="0" fillId="24" borderId="10" xfId="0" applyFill="1" applyBorder="1" applyAlignment="1">
      <alignment vertical="center"/>
    </xf>
    <xf numFmtId="0" fontId="31" fillId="0" borderId="14" xfId="0" applyFont="1" applyBorder="1" applyAlignment="1">
      <alignment vertical="center"/>
    </xf>
    <xf numFmtId="0" fontId="26" fillId="0" borderId="38" xfId="0" applyFont="1" applyBorder="1" applyAlignment="1">
      <alignment horizontal="left" vertical="center" wrapText="1"/>
    </xf>
    <xf numFmtId="0" fontId="26" fillId="0" borderId="11" xfId="0" applyFont="1" applyBorder="1" applyAlignment="1">
      <alignment horizontal="left" vertical="center" wrapText="1"/>
    </xf>
    <xf numFmtId="0" fontId="26" fillId="0" borderId="12" xfId="0" applyFont="1" applyBorder="1" applyAlignment="1">
      <alignment horizontal="left" vertical="center" wrapText="1"/>
    </xf>
    <xf numFmtId="0" fontId="28" fillId="0" borderId="41" xfId="0" applyFont="1" applyBorder="1" applyAlignment="1">
      <alignment horizontal="right" vertical="center"/>
    </xf>
    <xf numFmtId="0" fontId="28" fillId="0" borderId="16" xfId="0" applyFont="1" applyBorder="1" applyAlignment="1">
      <alignment horizontal="right" vertical="center"/>
    </xf>
    <xf numFmtId="0" fontId="28" fillId="0" borderId="22" xfId="0" applyFont="1" applyBorder="1" applyAlignment="1">
      <alignment horizontal="right" vertical="center"/>
    </xf>
    <xf numFmtId="0" fontId="41" fillId="27" borderId="0" xfId="0" applyFont="1" applyFill="1" applyAlignment="1">
      <alignment horizontal="right" vertical="center"/>
    </xf>
    <xf numFmtId="0" fontId="29" fillId="27" borderId="14" xfId="0" applyFont="1" applyFill="1" applyBorder="1" applyAlignment="1">
      <alignment vertical="center"/>
    </xf>
    <xf numFmtId="0" fontId="29" fillId="27" borderId="0" xfId="0" applyFont="1" applyFill="1" applyAlignment="1">
      <alignment vertical="center"/>
    </xf>
    <xf numFmtId="0" fontId="25" fillId="0" borderId="40" xfId="0" applyFont="1" applyBorder="1" applyAlignment="1" applyProtection="1">
      <alignment horizontal="left" vertical="center"/>
      <protection locked="0"/>
    </xf>
    <xf numFmtId="0" fontId="25" fillId="0" borderId="0" xfId="0" applyFont="1" applyAlignment="1" applyProtection="1">
      <alignment horizontal="left" vertical="center"/>
      <protection locked="0"/>
    </xf>
    <xf numFmtId="0" fontId="28" fillId="0" borderId="4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29" fillId="0" borderId="41" xfId="0" applyFont="1" applyBorder="1" applyAlignment="1">
      <alignment horizontal="right" vertical="center"/>
    </xf>
    <xf numFmtId="0" fontId="29" fillId="0" borderId="16" xfId="0" applyFont="1" applyBorder="1" applyAlignment="1">
      <alignment horizontal="right" vertical="center"/>
    </xf>
    <xf numFmtId="0" fontId="10" fillId="0" borderId="56" xfId="0" applyFont="1" applyBorder="1" applyProtection="1">
      <protection locked="0"/>
    </xf>
    <xf numFmtId="0" fontId="20" fillId="0" borderId="10" xfId="0" applyFont="1" applyBorder="1" applyAlignment="1" applyProtection="1">
      <alignment vertical="center"/>
      <protection locked="0"/>
    </xf>
    <xf numFmtId="0" fontId="0" fillId="24" borderId="18" xfId="0" applyFill="1" applyBorder="1" applyAlignment="1">
      <alignment vertical="center"/>
    </xf>
    <xf numFmtId="0" fontId="0" fillId="24" borderId="17" xfId="0" applyFill="1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0" fillId="0" borderId="17" xfId="0" applyNumberFormat="1" applyFont="1" applyBorder="1" applyAlignment="1" applyProtection="1">
      <alignment horizontal="center"/>
      <protection locked="0"/>
    </xf>
    <xf numFmtId="0" fontId="28" fillId="0" borderId="43" xfId="0" applyFont="1" applyBorder="1" applyAlignment="1">
      <alignment horizontal="left" vertical="center" wrapText="1"/>
    </xf>
    <xf numFmtId="0" fontId="28" fillId="0" borderId="59" xfId="0" applyFont="1" applyBorder="1" applyAlignment="1">
      <alignment horizontal="left" vertical="center" wrapText="1"/>
    </xf>
    <xf numFmtId="0" fontId="41" fillId="27" borderId="11" xfId="0" applyFont="1" applyFill="1" applyBorder="1" applyAlignment="1">
      <alignment horizontal="right" vertical="center"/>
    </xf>
    <xf numFmtId="0" fontId="10" fillId="0" borderId="51" xfId="0" applyFont="1" applyBorder="1" applyProtection="1">
      <protection locked="0"/>
    </xf>
    <xf numFmtId="0" fontId="20" fillId="0" borderId="53" xfId="0" applyFont="1" applyBorder="1" applyAlignment="1" applyProtection="1">
      <alignment horizontal="left"/>
      <protection locked="0"/>
    </xf>
    <xf numFmtId="14" fontId="0" fillId="0" borderId="0" xfId="0" applyNumberFormat="1" applyAlignment="1">
      <alignment horizontal="center"/>
    </xf>
    <xf numFmtId="0" fontId="0" fillId="0" borderId="4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10" fillId="0" borderId="17" xfId="0" applyFont="1" applyBorder="1" applyAlignment="1" applyProtection="1">
      <alignment horizontal="center"/>
      <protection locked="0"/>
    </xf>
  </cellXfs>
  <cellStyles count="42">
    <cellStyle name="20 % - Akzent1" xfId="1" builtinId="30" customBuiltin="1"/>
    <cellStyle name="20 % - Akzent2" xfId="2" builtinId="34" customBuiltin="1"/>
    <cellStyle name="20 % - Akzent3" xfId="3" builtinId="38" customBuiltin="1"/>
    <cellStyle name="20 % - Akzent4" xfId="4" builtinId="42" customBuiltin="1"/>
    <cellStyle name="20 % - Akzent5" xfId="5" builtinId="46" customBuiltin="1"/>
    <cellStyle name="20 % - Akzent6" xfId="6" builtinId="50" customBuiltin="1"/>
    <cellStyle name="40 % - Akzent1" xfId="7" builtinId="31" customBuiltin="1"/>
    <cellStyle name="40 % - Akzent2" xfId="8" builtinId="35" customBuiltin="1"/>
    <cellStyle name="40 % - Akzent3" xfId="9" builtinId="39" customBuiltin="1"/>
    <cellStyle name="40 % - Akzent4" xfId="10" builtinId="43" customBuiltin="1"/>
    <cellStyle name="40 % - Akzent5" xfId="11" builtinId="47" customBuiltin="1"/>
    <cellStyle name="40 % - Akzent6" xfId="12" builtinId="51" customBuiltin="1"/>
    <cellStyle name="60 % - Akzent1" xfId="13" builtinId="32" customBuiltin="1"/>
    <cellStyle name="60 % - Akzent2" xfId="14" builtinId="36" customBuiltin="1"/>
    <cellStyle name="60 % - Akzent3" xfId="15" builtinId="40" customBuiltin="1"/>
    <cellStyle name="60 % - Akzent4" xfId="16" builtinId="44" customBuiltin="1"/>
    <cellStyle name="60 % - Akzent5" xfId="17" builtinId="48" customBuiltin="1"/>
    <cellStyle name="60 % - Akzent6" xfId="18" builtinId="52" customBuiltin="1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25" builtinId="21" customBuiltin="1"/>
    <cellStyle name="Berechnung" xfId="26" builtinId="22" customBuiltin="1"/>
    <cellStyle name="Eingabe" xfId="27" builtinId="20" customBuiltin="1"/>
    <cellStyle name="Ergebnis" xfId="28" builtinId="25" customBuiltin="1"/>
    <cellStyle name="Erklärender Text" xfId="29" builtinId="53" customBuiltin="1"/>
    <cellStyle name="Gut" xfId="30" builtinId="26" customBuiltin="1"/>
    <cellStyle name="Neutral" xfId="31" builtinId="28" customBuiltin="1"/>
    <cellStyle name="Notiz" xfId="32" builtinId="10" customBuiltin="1"/>
    <cellStyle name="Schlecht" xfId="33" builtinId="27" customBuiltin="1"/>
    <cellStyle name="Standard" xfId="0" builtinId="0"/>
    <cellStyle name="Überschrift" xfId="34" builtinId="15" customBuiltin="1"/>
    <cellStyle name="Überschrift 1" xfId="35" builtinId="16" customBuiltin="1"/>
    <cellStyle name="Überschrift 2" xfId="36" builtinId="17" customBuiltin="1"/>
    <cellStyle name="Überschrift 3" xfId="37" builtinId="18" customBuiltin="1"/>
    <cellStyle name="Überschrift 4" xfId="38" builtinId="19" customBuiltin="1"/>
    <cellStyle name="Verknüpfte Zelle" xfId="39" builtinId="24" customBuiltin="1"/>
    <cellStyle name="Warnender Text" xfId="40" builtinId="11" customBuiltin="1"/>
    <cellStyle name="Zelle überprüfen" xfId="41" builtinId="23" customBuiltin="1"/>
  </cellStyles>
  <dxfs count="14">
    <dxf>
      <font>
        <b/>
        <i val="0"/>
      </font>
    </dxf>
    <dxf>
      <font>
        <b/>
        <i val="0"/>
      </font>
    </dxf>
    <dxf>
      <font>
        <color indexed="9"/>
      </font>
    </dxf>
    <dxf>
      <font>
        <color indexed="9"/>
      </font>
    </dxf>
    <dxf>
      <fill>
        <patternFill>
          <bgColor theme="0"/>
        </patternFill>
      </fill>
    </dxf>
    <dxf>
      <fill>
        <patternFill>
          <bgColor indexed="1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indexed="1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108740</xdr:colOff>
      <xdr:row>4</xdr:row>
      <xdr:rowOff>106019</xdr:rowOff>
    </xdr:from>
    <xdr:to>
      <xdr:col>13</xdr:col>
      <xdr:colOff>198605</xdr:colOff>
      <xdr:row>9</xdr:row>
      <xdr:rowOff>67919</xdr:rowOff>
    </xdr:to>
    <xdr:pic>
      <xdr:nvPicPr>
        <xdr:cNvPr id="10" name="Grafik 1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4969" y="878905"/>
          <a:ext cx="645036" cy="6150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37</xdr:col>
      <xdr:colOff>57150</xdr:colOff>
      <xdr:row>0</xdr:row>
      <xdr:rowOff>50800</xdr:rowOff>
    </xdr:from>
    <xdr:to>
      <xdr:col>39</xdr:col>
      <xdr:colOff>248615</xdr:colOff>
      <xdr:row>2</xdr:row>
      <xdr:rowOff>177800</xdr:rowOff>
    </xdr:to>
    <xdr:pic>
      <xdr:nvPicPr>
        <xdr:cNvPr id="5" name="Grafik 1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6700" y="50800"/>
          <a:ext cx="642315" cy="62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0</xdr:colOff>
      <xdr:row>76</xdr:row>
      <xdr:rowOff>0</xdr:rowOff>
    </xdr:from>
    <xdr:to>
      <xdr:col>37</xdr:col>
      <xdr:colOff>150159</xdr:colOff>
      <xdr:row>77</xdr:row>
      <xdr:rowOff>153056</xdr:rowOff>
    </xdr:to>
    <xdr:pic>
      <xdr:nvPicPr>
        <xdr:cNvPr id="4" name="Grafik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5975" y="14554200"/>
          <a:ext cx="607359" cy="2387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450160</xdr:colOff>
      <xdr:row>5</xdr:row>
      <xdr:rowOff>53425</xdr:rowOff>
    </xdr:from>
    <xdr:to>
      <xdr:col>36</xdr:col>
      <xdr:colOff>115957</xdr:colOff>
      <xdr:row>8</xdr:row>
      <xdr:rowOff>37625</xdr:rowOff>
    </xdr:to>
    <xdr:pic>
      <xdr:nvPicPr>
        <xdr:cNvPr id="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1535" y="605875"/>
          <a:ext cx="2056572" cy="3937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35</xdr:col>
      <xdr:colOff>0</xdr:colOff>
      <xdr:row>117</xdr:row>
      <xdr:rowOff>0</xdr:rowOff>
    </xdr:from>
    <xdr:to>
      <xdr:col>37</xdr:col>
      <xdr:colOff>150159</xdr:colOff>
      <xdr:row>118</xdr:row>
      <xdr:rowOff>153057</xdr:rowOff>
    </xdr:to>
    <xdr:pic>
      <xdr:nvPicPr>
        <xdr:cNvPr id="7" name="Grafik 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8630" y="22371326"/>
          <a:ext cx="605703" cy="235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AO325"/>
  <sheetViews>
    <sheetView showGridLines="0" tabSelected="1" showWhiteSpace="0" view="pageBreakPreview" zoomScale="115" zoomScaleNormal="95" zoomScaleSheetLayoutView="115" workbookViewId="0">
      <selection activeCell="AJ4" sqref="AJ4"/>
    </sheetView>
  </sheetViews>
  <sheetFormatPr baseColWidth="10" defaultRowHeight="12.75"/>
  <cols>
    <col min="1" max="1" width="8.140625" customWidth="1"/>
    <col min="2" max="2" width="5.28515625" customWidth="1"/>
    <col min="3" max="3" width="3.7109375" customWidth="1"/>
    <col min="4" max="4" width="4.7109375" customWidth="1"/>
    <col min="5" max="5" width="3.28515625" customWidth="1"/>
    <col min="6" max="6" width="4.5703125" customWidth="1"/>
    <col min="7" max="7" width="3.5703125" customWidth="1"/>
    <col min="8" max="8" width="3.7109375" hidden="1" customWidth="1"/>
    <col min="9" max="9" width="3.7109375" customWidth="1"/>
    <col min="10" max="10" width="4.5703125" customWidth="1"/>
    <col min="11" max="11" width="3.7109375" customWidth="1"/>
    <col min="12" max="12" width="4.28515625" customWidth="1"/>
    <col min="13" max="14" width="3.7109375" customWidth="1"/>
    <col min="15" max="16" width="4.28515625" style="2" customWidth="1"/>
    <col min="17" max="20" width="3.7109375" customWidth="1"/>
    <col min="21" max="21" width="5.28515625" customWidth="1"/>
    <col min="22" max="22" width="6" customWidth="1"/>
    <col min="23" max="23" width="3.7109375" customWidth="1"/>
    <col min="24" max="24" width="4" customWidth="1"/>
    <col min="25" max="25" width="6.42578125" customWidth="1"/>
    <col min="26" max="26" width="4.42578125" customWidth="1"/>
    <col min="27" max="27" width="3" customWidth="1"/>
    <col min="28" max="28" width="8.5703125" customWidth="1"/>
    <col min="29" max="29" width="3.7109375" customWidth="1"/>
    <col min="30" max="30" width="4.5703125" customWidth="1"/>
    <col min="31" max="31" width="0" hidden="1" customWidth="1"/>
    <col min="32" max="32" width="4.28515625" customWidth="1"/>
    <col min="33" max="36" width="3.7109375" customWidth="1"/>
    <col min="37" max="37" width="3.140625" bestFit="1" customWidth="1"/>
    <col min="38" max="38" width="3.7109375" customWidth="1"/>
    <col min="39" max="39" width="2.7109375" customWidth="1"/>
    <col min="40" max="40" width="4.7109375" customWidth="1"/>
    <col min="41" max="41" width="3.7109375" customWidth="1"/>
  </cols>
  <sheetData>
    <row r="1" spans="1:41" ht="16.5" customHeight="1"/>
    <row r="2" spans="1:41" ht="22.5" customHeight="1">
      <c r="Y2" s="430"/>
      <c r="Z2" s="430"/>
    </row>
    <row r="3" spans="1:41" ht="18">
      <c r="A3" s="1"/>
      <c r="B3" s="1"/>
      <c r="D3" s="1" t="s">
        <v>145</v>
      </c>
      <c r="Q3" s="2"/>
      <c r="R3" s="2"/>
      <c r="S3" s="2"/>
      <c r="T3" s="2"/>
      <c r="U3" s="177" t="s">
        <v>146</v>
      </c>
      <c r="V3" s="231" t="s">
        <v>222</v>
      </c>
      <c r="W3" s="230"/>
      <c r="X3" s="230"/>
      <c r="Y3" s="230"/>
      <c r="Z3" s="230"/>
      <c r="AA3" s="230"/>
      <c r="AB3" s="230"/>
      <c r="AC3" s="230"/>
      <c r="AD3" s="230"/>
      <c r="AE3" s="3"/>
      <c r="AF3" s="385" t="s">
        <v>0</v>
      </c>
      <c r="AG3" s="385"/>
      <c r="AH3" s="178">
        <v>1</v>
      </c>
      <c r="AI3" s="178" t="s">
        <v>1</v>
      </c>
      <c r="AJ3" s="179">
        <v>3</v>
      </c>
    </row>
    <row r="4" spans="1:41" ht="5.25" customHeight="1"/>
    <row r="5" spans="1:41" s="6" customFormat="1">
      <c r="A5" s="102" t="s">
        <v>2</v>
      </c>
      <c r="B5" s="103"/>
      <c r="C5" s="103"/>
      <c r="D5" s="103"/>
      <c r="E5" s="103"/>
      <c r="F5" s="103"/>
      <c r="G5" s="103"/>
      <c r="H5" s="103"/>
      <c r="I5" s="103"/>
      <c r="J5" s="104"/>
      <c r="K5" s="105" t="s">
        <v>3</v>
      </c>
      <c r="L5" s="103"/>
      <c r="M5" s="103"/>
      <c r="N5" s="386" t="s">
        <v>223</v>
      </c>
      <c r="O5" s="386"/>
      <c r="P5" s="386"/>
      <c r="Q5" s="386"/>
      <c r="R5" s="103"/>
      <c r="S5" s="103"/>
      <c r="T5" s="106" t="s">
        <v>4</v>
      </c>
      <c r="U5" s="107"/>
      <c r="V5" s="107"/>
      <c r="W5" s="387">
        <v>1406</v>
      </c>
      <c r="X5" s="387"/>
      <c r="Y5" s="387"/>
      <c r="Z5" s="107"/>
      <c r="AA5" s="107"/>
      <c r="AB5" s="105" t="s">
        <v>5</v>
      </c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8"/>
    </row>
    <row r="6" spans="1:41" ht="7.15" customHeight="1">
      <c r="A6" s="10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/>
      <c r="P6" s="9"/>
      <c r="Q6" s="8"/>
      <c r="R6" s="8"/>
      <c r="S6" s="8"/>
      <c r="T6" s="21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110"/>
    </row>
    <row r="7" spans="1:41">
      <c r="A7" s="111" t="s">
        <v>6</v>
      </c>
      <c r="D7" s="12" t="s">
        <v>7</v>
      </c>
      <c r="T7" s="219" t="s">
        <v>8</v>
      </c>
      <c r="U7" s="220"/>
      <c r="V7" s="221" t="s">
        <v>165</v>
      </c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  <c r="AK7" s="220"/>
      <c r="AL7" s="220"/>
      <c r="AM7" s="220"/>
      <c r="AN7" s="220"/>
      <c r="AO7" s="79"/>
    </row>
    <row r="8" spans="1:41">
      <c r="A8" s="111"/>
      <c r="D8" s="12" t="s">
        <v>154</v>
      </c>
      <c r="T8" s="219"/>
      <c r="U8" s="220"/>
      <c r="V8" s="221" t="s">
        <v>166</v>
      </c>
      <c r="W8" s="220"/>
      <c r="X8" s="220"/>
      <c r="Y8" s="220"/>
      <c r="Z8" s="220"/>
      <c r="AA8" s="220"/>
      <c r="AB8" s="220"/>
      <c r="AC8" s="220"/>
      <c r="AD8" s="220"/>
      <c r="AE8" s="220"/>
      <c r="AF8" s="220"/>
      <c r="AG8" s="220"/>
      <c r="AH8" s="220"/>
      <c r="AI8" s="220"/>
      <c r="AJ8" s="220"/>
      <c r="AK8" s="220"/>
      <c r="AL8" s="220"/>
      <c r="AM8" s="220"/>
      <c r="AN8" s="220"/>
      <c r="AO8" s="79"/>
    </row>
    <row r="9" spans="1:41" ht="6" customHeight="1">
      <c r="A9" s="112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  <c r="P9" s="15"/>
      <c r="Q9" s="14"/>
      <c r="R9" s="14"/>
      <c r="S9" s="14"/>
      <c r="T9" s="16"/>
      <c r="U9" s="222"/>
      <c r="V9" s="222"/>
      <c r="W9" s="222"/>
      <c r="X9" s="222"/>
      <c r="Y9" s="222"/>
      <c r="Z9" s="222"/>
      <c r="AA9" s="222"/>
      <c r="AB9" s="222"/>
      <c r="AC9" s="222"/>
      <c r="AD9" s="222"/>
      <c r="AE9" s="222"/>
      <c r="AF9" s="222"/>
      <c r="AG9" s="222"/>
      <c r="AH9" s="222"/>
      <c r="AI9" s="222"/>
      <c r="AJ9" s="222"/>
      <c r="AK9" s="222"/>
      <c r="AL9" s="222"/>
      <c r="AM9" s="222"/>
      <c r="AN9" s="222"/>
      <c r="AO9" s="113"/>
    </row>
    <row r="10" spans="1:41" s="6" customFormat="1" ht="15.75" customHeight="1">
      <c r="A10" s="114" t="s">
        <v>9</v>
      </c>
      <c r="B10" s="4"/>
      <c r="C10" s="4"/>
      <c r="D10" s="418" t="s">
        <v>226</v>
      </c>
      <c r="E10" s="418"/>
      <c r="F10" s="418"/>
      <c r="G10" s="418"/>
      <c r="H10" s="418"/>
      <c r="I10" s="418"/>
      <c r="J10" s="418"/>
      <c r="K10" s="418"/>
      <c r="L10" s="17"/>
      <c r="M10" s="17"/>
      <c r="N10" s="17"/>
      <c r="O10" s="18"/>
      <c r="P10" s="18"/>
      <c r="Q10" s="17"/>
      <c r="R10" s="17"/>
      <c r="S10" s="5"/>
      <c r="T10" s="19" t="s">
        <v>6</v>
      </c>
      <c r="U10" s="418" t="s">
        <v>224</v>
      </c>
      <c r="V10" s="418"/>
      <c r="W10" s="418"/>
      <c r="X10" s="418"/>
      <c r="Y10" s="418"/>
      <c r="Z10" s="4"/>
      <c r="AA10" s="4"/>
      <c r="AB10" s="4"/>
      <c r="AC10" s="4"/>
      <c r="AD10" s="4"/>
      <c r="AE10" s="4"/>
      <c r="AF10" s="4"/>
      <c r="AG10" s="4"/>
      <c r="AH10" s="20" t="s">
        <v>10</v>
      </c>
      <c r="AI10" s="161" t="s">
        <v>225</v>
      </c>
      <c r="AJ10" s="4"/>
      <c r="AK10" s="4"/>
      <c r="AL10" s="4"/>
      <c r="AM10" s="4"/>
      <c r="AN10" s="4"/>
      <c r="AO10" s="23"/>
    </row>
    <row r="11" spans="1:41" s="6" customFormat="1" ht="16.149999999999999" customHeight="1">
      <c r="A11" s="115" t="s">
        <v>11</v>
      </c>
      <c r="B11" s="199"/>
      <c r="C11" s="21"/>
      <c r="D11" s="21"/>
      <c r="E11" s="364" t="s">
        <v>12</v>
      </c>
      <c r="F11" s="364"/>
      <c r="G11" s="364"/>
      <c r="H11" s="364"/>
      <c r="I11" s="364"/>
      <c r="J11" s="364"/>
      <c r="K11" s="364"/>
      <c r="L11" s="171" t="s">
        <v>13</v>
      </c>
      <c r="M11" s="365" t="s">
        <v>14</v>
      </c>
      <c r="N11" s="366"/>
      <c r="O11" s="366"/>
      <c r="P11" s="366"/>
      <c r="Q11" s="366"/>
      <c r="R11" s="172"/>
      <c r="S11" s="171" t="s">
        <v>13</v>
      </c>
      <c r="T11" s="367" t="s">
        <v>15</v>
      </c>
      <c r="U11" s="368"/>
      <c r="V11" s="368"/>
      <c r="W11" s="368"/>
      <c r="X11" s="173" t="s">
        <v>16</v>
      </c>
      <c r="Y11" s="421" t="s">
        <v>144</v>
      </c>
      <c r="Z11" s="422"/>
      <c r="AA11" s="422"/>
      <c r="AB11" s="422"/>
      <c r="AC11" s="23"/>
      <c r="AD11" s="180" t="s">
        <v>142</v>
      </c>
      <c r="AE11" s="157"/>
      <c r="AF11" s="181"/>
      <c r="AG11" s="4"/>
      <c r="AH11" s="24" t="s">
        <v>16</v>
      </c>
      <c r="AI11" s="5"/>
      <c r="AJ11" s="25" t="s">
        <v>17</v>
      </c>
      <c r="AK11" s="5"/>
      <c r="AL11" s="5"/>
      <c r="AM11" s="5"/>
      <c r="AN11" s="5"/>
      <c r="AO11" s="116"/>
    </row>
    <row r="12" spans="1:41" s="6" customFormat="1" ht="16.149999999999999" customHeight="1">
      <c r="A12" s="419" t="s">
        <v>18</v>
      </c>
      <c r="B12" s="400"/>
      <c r="C12" s="420"/>
      <c r="D12" s="420"/>
      <c r="E12" s="26" t="s">
        <v>13</v>
      </c>
      <c r="F12" s="4"/>
      <c r="G12" s="4"/>
      <c r="H12" s="4"/>
      <c r="I12" s="400" t="s">
        <v>19</v>
      </c>
      <c r="J12" s="400"/>
      <c r="K12" s="400"/>
      <c r="L12" s="26" t="s">
        <v>13</v>
      </c>
      <c r="M12" s="4"/>
      <c r="N12" s="4"/>
      <c r="O12" s="22"/>
      <c r="P12" s="22"/>
      <c r="Q12" s="400" t="s">
        <v>20</v>
      </c>
      <c r="R12" s="400"/>
      <c r="S12" s="400"/>
      <c r="T12" s="26" t="s">
        <v>13</v>
      </c>
      <c r="U12" s="4"/>
      <c r="V12" s="27"/>
      <c r="W12" s="4"/>
      <c r="X12" s="400" t="s">
        <v>21</v>
      </c>
      <c r="Y12" s="400"/>
      <c r="Z12" s="400"/>
      <c r="AA12" s="400"/>
      <c r="AB12" s="4"/>
      <c r="AC12" s="4"/>
      <c r="AD12" s="26" t="s">
        <v>13</v>
      </c>
      <c r="AF12" s="4"/>
      <c r="AG12" s="4"/>
      <c r="AH12" s="400" t="s">
        <v>22</v>
      </c>
      <c r="AI12" s="400"/>
      <c r="AJ12" s="400"/>
      <c r="AK12" s="400"/>
      <c r="AL12" s="400"/>
      <c r="AM12" s="400"/>
      <c r="AN12" s="26" t="s">
        <v>16</v>
      </c>
      <c r="AO12" s="23"/>
    </row>
    <row r="13" spans="1:41" s="6" customFormat="1" ht="16.149999999999999" customHeight="1">
      <c r="A13" s="114" t="s">
        <v>23</v>
      </c>
      <c r="B13" s="4"/>
      <c r="C13" s="4"/>
      <c r="D13" s="28">
        <v>230</v>
      </c>
      <c r="E13" s="18" t="s">
        <v>17</v>
      </c>
      <c r="F13" s="28">
        <v>400</v>
      </c>
      <c r="G13" s="17" t="s">
        <v>24</v>
      </c>
      <c r="H13" s="4"/>
      <c r="I13" s="4"/>
      <c r="J13" s="4"/>
      <c r="K13" s="4"/>
      <c r="L13" s="4"/>
      <c r="M13" s="4"/>
      <c r="N13" s="4"/>
      <c r="O13" s="22"/>
      <c r="P13" s="22"/>
      <c r="Q13" s="4" t="s">
        <v>25</v>
      </c>
      <c r="R13" s="4"/>
      <c r="S13" s="4"/>
      <c r="T13" s="4"/>
      <c r="U13" s="167" t="s">
        <v>26</v>
      </c>
      <c r="V13" s="168" t="s">
        <v>13</v>
      </c>
      <c r="W13" s="169"/>
      <c r="X13" s="169"/>
      <c r="Y13" s="167" t="s">
        <v>27</v>
      </c>
      <c r="Z13" s="168" t="s">
        <v>16</v>
      </c>
      <c r="AA13" s="168"/>
      <c r="AB13" s="169"/>
      <c r="AC13" s="169"/>
      <c r="AD13" s="399" t="s">
        <v>28</v>
      </c>
      <c r="AE13" s="399"/>
      <c r="AF13" s="399"/>
      <c r="AG13" s="168" t="s">
        <v>13</v>
      </c>
      <c r="AH13" s="169"/>
      <c r="AI13" s="170" t="s">
        <v>29</v>
      </c>
      <c r="AJ13" s="168" t="s">
        <v>13</v>
      </c>
      <c r="AK13" s="169"/>
      <c r="AL13" s="169"/>
      <c r="AM13" s="170" t="s">
        <v>30</v>
      </c>
      <c r="AN13" s="168" t="s">
        <v>13</v>
      </c>
      <c r="AO13" s="23"/>
    </row>
    <row r="14" spans="1:41" s="6" customFormat="1" ht="16.149999999999999" customHeight="1">
      <c r="A14" s="117" t="s">
        <v>31</v>
      </c>
      <c r="B14" s="200"/>
      <c r="O14" s="29"/>
      <c r="P14" s="29"/>
      <c r="AO14" s="118"/>
    </row>
    <row r="15" spans="1:41" s="38" customFormat="1" ht="16.149999999999999" customHeight="1">
      <c r="A15" s="402" t="s">
        <v>32</v>
      </c>
      <c r="B15" s="403"/>
      <c r="C15" s="404"/>
      <c r="D15" s="404"/>
      <c r="E15" s="404"/>
      <c r="F15" s="404"/>
      <c r="G15" s="404"/>
      <c r="H15" s="404"/>
      <c r="I15" s="30"/>
      <c r="J15" s="30"/>
      <c r="K15" s="31" t="s">
        <v>33</v>
      </c>
      <c r="L15" s="32" t="s">
        <v>34</v>
      </c>
      <c r="M15" s="33"/>
      <c r="N15" s="34"/>
      <c r="O15" s="35"/>
      <c r="P15" s="35"/>
      <c r="Q15" s="34"/>
      <c r="R15" s="34"/>
      <c r="S15" s="34"/>
      <c r="T15" s="30"/>
      <c r="U15" s="30"/>
      <c r="V15" s="30"/>
      <c r="W15" s="31" t="s">
        <v>33</v>
      </c>
      <c r="X15" s="32" t="s">
        <v>34</v>
      </c>
      <c r="Y15" s="33"/>
      <c r="Z15" s="34"/>
      <c r="AA15" s="34"/>
      <c r="AB15" s="34"/>
      <c r="AC15" s="34"/>
      <c r="AD15" s="34"/>
      <c r="AE15" s="34"/>
      <c r="AF15" s="34"/>
      <c r="AG15" s="34"/>
      <c r="AH15" s="34"/>
      <c r="AI15" s="30"/>
      <c r="AJ15" s="30"/>
      <c r="AK15" s="30"/>
      <c r="AL15" s="31" t="s">
        <v>33</v>
      </c>
      <c r="AM15" s="36" t="s">
        <v>34</v>
      </c>
      <c r="AN15" s="37"/>
      <c r="AO15" s="119"/>
    </row>
    <row r="16" spans="1:41" s="38" customFormat="1" ht="16.149999999999999" customHeight="1">
      <c r="A16" s="369" t="s">
        <v>35</v>
      </c>
      <c r="B16" s="370"/>
      <c r="C16" s="371"/>
      <c r="D16" s="371"/>
      <c r="E16" s="371"/>
      <c r="F16" s="371"/>
      <c r="G16" s="371"/>
      <c r="H16" s="371"/>
      <c r="I16" s="371"/>
      <c r="J16" s="371"/>
      <c r="K16" s="7" t="s">
        <v>16</v>
      </c>
      <c r="L16" s="7" t="s">
        <v>13</v>
      </c>
      <c r="M16" s="371" t="s">
        <v>38</v>
      </c>
      <c r="N16" s="371"/>
      <c r="O16" s="371"/>
      <c r="P16" s="371"/>
      <c r="Q16" s="371"/>
      <c r="R16" s="371"/>
      <c r="S16" s="371"/>
      <c r="T16" s="371"/>
      <c r="U16" s="371"/>
      <c r="V16" s="371"/>
      <c r="W16" s="7" t="s">
        <v>16</v>
      </c>
      <c r="X16" s="7" t="s">
        <v>13</v>
      </c>
      <c r="Y16" s="371" t="s">
        <v>42</v>
      </c>
      <c r="Z16" s="371"/>
      <c r="AA16" s="371"/>
      <c r="AB16" s="371"/>
      <c r="AC16" s="371"/>
      <c r="AD16" s="371"/>
      <c r="AE16" s="371"/>
      <c r="AF16" s="371"/>
      <c r="AG16" s="371"/>
      <c r="AH16" s="371"/>
      <c r="AI16" s="371"/>
      <c r="AJ16" s="371"/>
      <c r="AK16" s="371"/>
      <c r="AL16" s="7" t="s">
        <v>13</v>
      </c>
      <c r="AM16" s="7" t="s">
        <v>13</v>
      </c>
      <c r="AO16" s="120"/>
    </row>
    <row r="17" spans="1:41" s="38" customFormat="1" ht="16.149999999999999" customHeight="1">
      <c r="A17" s="369" t="s">
        <v>37</v>
      </c>
      <c r="B17" s="370"/>
      <c r="C17" s="371"/>
      <c r="D17" s="371"/>
      <c r="E17" s="371"/>
      <c r="F17" s="371"/>
      <c r="G17" s="371"/>
      <c r="H17" s="371"/>
      <c r="I17" s="371"/>
      <c r="J17" s="371"/>
      <c r="K17" s="7" t="s">
        <v>16</v>
      </c>
      <c r="L17" s="7" t="s">
        <v>13</v>
      </c>
      <c r="M17" s="371" t="s">
        <v>41</v>
      </c>
      <c r="N17" s="370"/>
      <c r="O17" s="370"/>
      <c r="P17" s="370"/>
      <c r="Q17" s="370"/>
      <c r="R17" s="370"/>
      <c r="S17" s="370"/>
      <c r="T17" s="370"/>
      <c r="U17" s="370"/>
      <c r="V17" s="370"/>
      <c r="W17" s="7" t="s">
        <v>16</v>
      </c>
      <c r="X17" s="7" t="s">
        <v>13</v>
      </c>
      <c r="Y17" s="371" t="s">
        <v>45</v>
      </c>
      <c r="Z17" s="371"/>
      <c r="AA17" s="371"/>
      <c r="AB17" s="371"/>
      <c r="AC17" s="371"/>
      <c r="AD17" s="371"/>
      <c r="AE17" s="371"/>
      <c r="AF17" s="371"/>
      <c r="AG17" s="371"/>
      <c r="AH17" s="371"/>
      <c r="AI17" s="371"/>
      <c r="AJ17" s="371"/>
      <c r="AK17" s="371"/>
      <c r="AL17" s="7" t="s">
        <v>16</v>
      </c>
      <c r="AM17" s="7" t="s">
        <v>13</v>
      </c>
      <c r="AO17" s="120"/>
    </row>
    <row r="18" spans="1:41" s="38" customFormat="1" ht="16.149999999999999" customHeight="1">
      <c r="A18" s="369" t="s">
        <v>40</v>
      </c>
      <c r="B18" s="370"/>
      <c r="C18" s="371"/>
      <c r="D18" s="371"/>
      <c r="E18" s="371"/>
      <c r="F18" s="371"/>
      <c r="G18" s="371"/>
      <c r="H18" s="371"/>
      <c r="I18" s="371"/>
      <c r="J18" s="371"/>
      <c r="K18" s="7" t="s">
        <v>13</v>
      </c>
      <c r="L18" s="7" t="s">
        <v>13</v>
      </c>
      <c r="M18" s="371" t="s">
        <v>44</v>
      </c>
      <c r="N18" s="370"/>
      <c r="O18" s="370"/>
      <c r="P18" s="370"/>
      <c r="Q18" s="370"/>
      <c r="R18" s="370"/>
      <c r="S18" s="370"/>
      <c r="T18" s="370"/>
      <c r="U18" s="370"/>
      <c r="V18" s="370"/>
      <c r="W18" s="7" t="s">
        <v>16</v>
      </c>
      <c r="X18" s="7" t="s">
        <v>13</v>
      </c>
      <c r="Y18" s="371" t="s">
        <v>160</v>
      </c>
      <c r="Z18" s="371"/>
      <c r="AA18" s="371"/>
      <c r="AB18" s="371"/>
      <c r="AC18" s="371"/>
      <c r="AD18" s="371"/>
      <c r="AE18" s="371"/>
      <c r="AF18" s="371"/>
      <c r="AG18" s="371"/>
      <c r="AH18" s="371"/>
      <c r="AI18" s="371"/>
      <c r="AJ18" s="371"/>
      <c r="AK18" s="371"/>
      <c r="AL18" s="7" t="s">
        <v>16</v>
      </c>
      <c r="AM18" s="7" t="s">
        <v>13</v>
      </c>
      <c r="AO18" s="120"/>
    </row>
    <row r="19" spans="1:41" s="38" customFormat="1" ht="16.149999999999999" customHeight="1">
      <c r="A19" s="369" t="s">
        <v>43</v>
      </c>
      <c r="B19" s="370"/>
      <c r="C19" s="371"/>
      <c r="D19" s="371"/>
      <c r="E19" s="371"/>
      <c r="F19" s="371"/>
      <c r="G19" s="371"/>
      <c r="H19" s="371"/>
      <c r="I19" s="371"/>
      <c r="J19" s="371"/>
      <c r="K19" s="7" t="s">
        <v>13</v>
      </c>
      <c r="L19" s="7" t="s">
        <v>13</v>
      </c>
      <c r="M19" s="371" t="s">
        <v>151</v>
      </c>
      <c r="N19" s="371"/>
      <c r="O19" s="371"/>
      <c r="P19" s="371"/>
      <c r="Q19" s="371"/>
      <c r="R19" s="371"/>
      <c r="S19" s="371"/>
      <c r="T19" s="371"/>
      <c r="U19" s="371"/>
      <c r="V19" s="371"/>
      <c r="W19" s="7" t="s">
        <v>16</v>
      </c>
      <c r="X19" s="213" t="s">
        <v>13</v>
      </c>
      <c r="Y19" s="423"/>
      <c r="Z19" s="423"/>
      <c r="AA19" s="423"/>
      <c r="AB19" s="423"/>
      <c r="AC19" s="423"/>
      <c r="AD19" s="423"/>
      <c r="AE19" s="423"/>
      <c r="AF19" s="423"/>
      <c r="AG19" s="423"/>
      <c r="AH19" s="423"/>
      <c r="AI19" s="423"/>
      <c r="AJ19" s="423"/>
      <c r="AK19" s="423"/>
      <c r="AL19" s="7" t="s">
        <v>13</v>
      </c>
      <c r="AM19" s="7" t="s">
        <v>13</v>
      </c>
      <c r="AO19" s="120"/>
    </row>
    <row r="20" spans="1:41" s="38" customFormat="1" ht="16.149999999999999" customHeight="1">
      <c r="A20" s="369" t="s">
        <v>46</v>
      </c>
      <c r="B20" s="384"/>
      <c r="C20" s="384"/>
      <c r="D20" s="384"/>
      <c r="E20" s="384"/>
      <c r="F20" s="384"/>
      <c r="G20" s="384"/>
      <c r="H20" s="384"/>
      <c r="I20" s="384"/>
      <c r="J20" s="384"/>
      <c r="K20" s="7" t="s">
        <v>16</v>
      </c>
      <c r="L20" s="7" t="s">
        <v>13</v>
      </c>
      <c r="M20" s="371" t="s">
        <v>36</v>
      </c>
      <c r="N20" s="371"/>
      <c r="O20" s="371"/>
      <c r="P20" s="371"/>
      <c r="Q20" s="371"/>
      <c r="R20" s="371"/>
      <c r="S20" s="371"/>
      <c r="T20" s="371"/>
      <c r="U20" s="371"/>
      <c r="V20" s="371"/>
      <c r="W20" s="7" t="s">
        <v>16</v>
      </c>
      <c r="X20" s="7" t="s">
        <v>13</v>
      </c>
      <c r="Y20" s="371"/>
      <c r="Z20" s="371"/>
      <c r="AA20" s="371"/>
      <c r="AB20" s="371"/>
      <c r="AC20" s="371"/>
      <c r="AD20" s="371"/>
      <c r="AE20" s="371"/>
      <c r="AF20" s="371"/>
      <c r="AG20" s="371"/>
      <c r="AH20" s="371"/>
      <c r="AI20" s="371"/>
      <c r="AJ20" s="371"/>
      <c r="AK20" s="371"/>
      <c r="AL20" s="7" t="s">
        <v>13</v>
      </c>
      <c r="AM20" s="7" t="s">
        <v>13</v>
      </c>
      <c r="AO20" s="120"/>
    </row>
    <row r="21" spans="1:41" s="38" customFormat="1" ht="16.149999999999999" customHeight="1">
      <c r="A21" s="388" t="s">
        <v>150</v>
      </c>
      <c r="B21" s="388"/>
      <c r="C21" s="388"/>
      <c r="D21" s="388"/>
      <c r="E21" s="388"/>
      <c r="F21" s="388"/>
      <c r="G21" s="388"/>
      <c r="H21" s="388"/>
      <c r="I21" s="388"/>
      <c r="J21" s="388"/>
      <c r="K21" s="40" t="s">
        <v>16</v>
      </c>
      <c r="L21" s="40" t="s">
        <v>13</v>
      </c>
      <c r="M21" s="389" t="s">
        <v>39</v>
      </c>
      <c r="N21" s="389"/>
      <c r="O21" s="389"/>
      <c r="P21" s="389"/>
      <c r="Q21" s="389"/>
      <c r="R21" s="389"/>
      <c r="S21" s="389"/>
      <c r="T21" s="389"/>
      <c r="U21" s="389"/>
      <c r="V21" s="389"/>
      <c r="W21" s="40" t="s">
        <v>16</v>
      </c>
      <c r="X21" s="40" t="s">
        <v>13</v>
      </c>
      <c r="Y21" s="383" t="s">
        <v>47</v>
      </c>
      <c r="Z21" s="244"/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K21" s="244"/>
      <c r="AL21" s="40" t="s">
        <v>13</v>
      </c>
      <c r="AM21" s="40"/>
      <c r="AN21" s="42"/>
      <c r="AO21" s="121"/>
    </row>
    <row r="22" spans="1:41" s="44" customFormat="1" ht="12.75" customHeight="1">
      <c r="A22" s="390" t="s">
        <v>48</v>
      </c>
      <c r="B22" s="391"/>
      <c r="C22" s="392"/>
      <c r="D22" s="392"/>
      <c r="E22" s="392"/>
      <c r="F22" s="392"/>
      <c r="G22" s="392"/>
      <c r="H22" s="392"/>
      <c r="I22" s="43"/>
      <c r="J22" s="43"/>
      <c r="K22" s="7"/>
      <c r="L22" s="39"/>
      <c r="M22" s="393" t="s">
        <v>152</v>
      </c>
      <c r="N22" s="394"/>
      <c r="O22" s="394"/>
      <c r="P22" s="394"/>
      <c r="Q22" s="394"/>
      <c r="R22" s="394"/>
      <c r="S22" s="394"/>
      <c r="T22" s="394"/>
      <c r="U22" s="394"/>
      <c r="V22" s="394"/>
      <c r="W22" s="7"/>
      <c r="X22" s="39"/>
      <c r="Y22" s="401" t="s">
        <v>49</v>
      </c>
      <c r="Z22" s="401"/>
      <c r="AA22" s="401"/>
      <c r="AB22" s="401"/>
      <c r="AC22" s="401"/>
      <c r="AD22" s="401"/>
      <c r="AE22" s="401"/>
      <c r="AF22" s="401"/>
      <c r="AG22" s="401"/>
      <c r="AH22" s="401"/>
      <c r="AI22" s="401"/>
      <c r="AJ22" s="401"/>
      <c r="AK22" s="401"/>
      <c r="AL22" s="7"/>
      <c r="AM22" s="7"/>
      <c r="AO22" s="122"/>
    </row>
    <row r="23" spans="1:41" s="6" customFormat="1">
      <c r="A23" s="369" t="s">
        <v>50</v>
      </c>
      <c r="B23" s="370"/>
      <c r="C23" s="371"/>
      <c r="D23" s="371"/>
      <c r="E23" s="371"/>
      <c r="F23" s="371"/>
      <c r="G23" s="371"/>
      <c r="H23" s="371"/>
      <c r="I23" s="371"/>
      <c r="J23" s="371"/>
      <c r="K23" s="7" t="s">
        <v>16</v>
      </c>
      <c r="L23" s="7" t="s">
        <v>13</v>
      </c>
      <c r="M23" s="371" t="s">
        <v>51</v>
      </c>
      <c r="N23" s="371"/>
      <c r="O23" s="371"/>
      <c r="P23" s="371"/>
      <c r="Q23" s="371"/>
      <c r="R23" s="371"/>
      <c r="S23" s="371"/>
      <c r="T23" s="371"/>
      <c r="U23" s="371"/>
      <c r="V23" s="371"/>
      <c r="W23" s="7" t="s">
        <v>13</v>
      </c>
      <c r="X23" s="39" t="s">
        <v>13</v>
      </c>
      <c r="Y23" s="376" t="s">
        <v>52</v>
      </c>
      <c r="Z23" s="376"/>
      <c r="AA23" s="376"/>
      <c r="AB23" s="376"/>
      <c r="AC23" s="376"/>
      <c r="AD23" s="376"/>
      <c r="AE23" s="376"/>
      <c r="AF23" s="376"/>
      <c r="AG23" s="376"/>
      <c r="AH23" s="376"/>
      <c r="AI23" s="376"/>
      <c r="AJ23" s="376"/>
      <c r="AK23" s="376"/>
      <c r="AL23" s="7" t="s">
        <v>13</v>
      </c>
      <c r="AM23" s="7" t="s">
        <v>13</v>
      </c>
      <c r="AO23" s="118"/>
    </row>
    <row r="24" spans="1:41" s="6" customFormat="1">
      <c r="A24" s="369" t="s">
        <v>149</v>
      </c>
      <c r="B24" s="384"/>
      <c r="C24" s="384"/>
      <c r="D24" s="384"/>
      <c r="E24" s="384"/>
      <c r="F24" s="384"/>
      <c r="G24" s="384"/>
      <c r="H24" s="384"/>
      <c r="I24" s="384"/>
      <c r="J24" s="384"/>
      <c r="K24" s="7" t="s">
        <v>13</v>
      </c>
      <c r="L24" s="213" t="s">
        <v>13</v>
      </c>
      <c r="M24" s="370" t="s">
        <v>53</v>
      </c>
      <c r="N24" s="370"/>
      <c r="O24" s="370"/>
      <c r="P24" s="370"/>
      <c r="Q24" s="370"/>
      <c r="R24" s="370"/>
      <c r="S24" s="370"/>
      <c r="T24" s="370"/>
      <c r="U24" s="370"/>
      <c r="V24" s="370"/>
      <c r="W24" s="7" t="s">
        <v>13</v>
      </c>
      <c r="X24" s="39" t="s">
        <v>13</v>
      </c>
      <c r="Y24" s="375" t="s">
        <v>43</v>
      </c>
      <c r="Z24" s="375"/>
      <c r="AA24" s="375"/>
      <c r="AB24" s="375"/>
      <c r="AC24" s="375"/>
      <c r="AD24" s="375"/>
      <c r="AE24" s="375"/>
      <c r="AF24" s="375"/>
      <c r="AG24" s="375"/>
      <c r="AH24" s="375"/>
      <c r="AI24" s="375"/>
      <c r="AJ24" s="375"/>
      <c r="AK24" s="375"/>
      <c r="AL24" s="7" t="s">
        <v>13</v>
      </c>
      <c r="AM24" s="7" t="s">
        <v>13</v>
      </c>
      <c r="AO24" s="118"/>
    </row>
    <row r="25" spans="1:41" s="6" customFormat="1">
      <c r="A25" s="415" t="s">
        <v>161</v>
      </c>
      <c r="B25" s="416"/>
      <c r="C25" s="389"/>
      <c r="D25" s="389"/>
      <c r="E25" s="389"/>
      <c r="F25" s="389"/>
      <c r="G25" s="389"/>
      <c r="H25" s="389"/>
      <c r="I25" s="389"/>
      <c r="J25" s="389"/>
      <c r="K25" s="40" t="s">
        <v>16</v>
      </c>
      <c r="L25" s="40" t="s">
        <v>13</v>
      </c>
      <c r="M25" s="389"/>
      <c r="N25" s="389"/>
      <c r="O25" s="389"/>
      <c r="P25" s="389"/>
      <c r="Q25" s="389"/>
      <c r="R25" s="389"/>
      <c r="S25" s="389"/>
      <c r="T25" s="389"/>
      <c r="U25" s="389"/>
      <c r="V25" s="389"/>
      <c r="W25" s="40"/>
      <c r="X25" s="41"/>
      <c r="Y25" s="407"/>
      <c r="Z25" s="407"/>
      <c r="AA25" s="407"/>
      <c r="AB25" s="407"/>
      <c r="AC25" s="407"/>
      <c r="AD25" s="407"/>
      <c r="AE25" s="407"/>
      <c r="AF25" s="407"/>
      <c r="AG25" s="407"/>
      <c r="AH25" s="407"/>
      <c r="AI25" s="407"/>
      <c r="AJ25" s="407"/>
      <c r="AK25" s="407"/>
      <c r="AL25" s="40"/>
      <c r="AM25" s="40"/>
      <c r="AN25" s="27"/>
      <c r="AO25" s="123"/>
    </row>
    <row r="26" spans="1:41" s="6" customFormat="1" ht="16.149999999999999" customHeight="1">
      <c r="A26" s="402" t="s">
        <v>54</v>
      </c>
      <c r="B26" s="403"/>
      <c r="C26" s="404"/>
      <c r="D26" s="404"/>
      <c r="E26" s="404"/>
      <c r="F26" s="404"/>
      <c r="G26" s="404"/>
      <c r="H26" s="404"/>
      <c r="I26" s="5"/>
      <c r="J26" s="5"/>
      <c r="K26" s="5"/>
      <c r="L26" s="5"/>
      <c r="M26" s="5"/>
      <c r="N26" s="5"/>
      <c r="O26" s="25"/>
      <c r="P26" s="2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116"/>
    </row>
    <row r="27" spans="1:41" s="6" customFormat="1" ht="16.149999999999999" customHeight="1">
      <c r="A27" s="124" t="s">
        <v>126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6"/>
      <c r="P27" s="26" t="s">
        <v>16</v>
      </c>
      <c r="Q27" s="47"/>
      <c r="R27" s="47"/>
      <c r="S27" s="47"/>
      <c r="T27" s="47"/>
      <c r="U27" s="47"/>
      <c r="V27" s="47"/>
      <c r="W27" s="47"/>
      <c r="X27" s="47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23"/>
    </row>
    <row r="28" spans="1:41" s="6" customFormat="1" ht="14.25" customHeight="1">
      <c r="A28" s="374" t="s">
        <v>55</v>
      </c>
      <c r="B28" s="375"/>
      <c r="C28" s="376"/>
      <c r="D28" s="376"/>
      <c r="E28" s="376"/>
      <c r="F28" s="376"/>
      <c r="G28" s="376"/>
      <c r="H28" s="39" t="s">
        <v>13</v>
      </c>
      <c r="I28" s="376" t="s">
        <v>56</v>
      </c>
      <c r="J28" s="376"/>
      <c r="K28" s="376"/>
      <c r="L28" s="376"/>
      <c r="M28" s="376"/>
      <c r="N28" s="376"/>
      <c r="O28" s="7" t="s">
        <v>13</v>
      </c>
      <c r="P28" s="376" t="s">
        <v>57</v>
      </c>
      <c r="Q28" s="376"/>
      <c r="R28" s="376"/>
      <c r="S28" s="376"/>
      <c r="T28" s="376"/>
      <c r="U28" s="376"/>
      <c r="V28" s="39" t="s">
        <v>13</v>
      </c>
      <c r="W28" s="376" t="s">
        <v>58</v>
      </c>
      <c r="X28" s="376"/>
      <c r="Y28" s="376"/>
      <c r="Z28" s="376"/>
      <c r="AA28" s="376"/>
      <c r="AB28" s="376"/>
      <c r="AC28" s="376"/>
      <c r="AD28" s="376"/>
      <c r="AE28" s="376"/>
      <c r="AF28" s="39" t="s">
        <v>13</v>
      </c>
      <c r="AG28" s="48"/>
      <c r="AH28" s="44"/>
      <c r="AI28" s="38"/>
      <c r="AJ28" s="43"/>
      <c r="AK28" s="43"/>
      <c r="AL28" s="43"/>
      <c r="AN28" s="7"/>
      <c r="AO28" s="125"/>
    </row>
    <row r="29" spans="1:41" s="6" customFormat="1" ht="14.25" customHeight="1">
      <c r="A29" s="374" t="s">
        <v>59</v>
      </c>
      <c r="B29" s="375"/>
      <c r="C29" s="376"/>
      <c r="D29" s="376"/>
      <c r="E29" s="376"/>
      <c r="F29" s="376"/>
      <c r="G29" s="376"/>
      <c r="H29" s="39" t="s">
        <v>13</v>
      </c>
      <c r="I29" s="376" t="s">
        <v>60</v>
      </c>
      <c r="J29" s="376"/>
      <c r="K29" s="376"/>
      <c r="L29" s="376"/>
      <c r="M29" s="376"/>
      <c r="N29" s="376"/>
      <c r="O29" s="7" t="s">
        <v>13</v>
      </c>
      <c r="P29" s="376" t="s">
        <v>61</v>
      </c>
      <c r="Q29" s="376"/>
      <c r="R29" s="376"/>
      <c r="S29" s="376"/>
      <c r="T29" s="376"/>
      <c r="U29" s="376"/>
      <c r="V29" s="39" t="s">
        <v>13</v>
      </c>
      <c r="W29" s="376" t="s">
        <v>62</v>
      </c>
      <c r="X29" s="376"/>
      <c r="Y29" s="376"/>
      <c r="Z29" s="376"/>
      <c r="AA29" s="376"/>
      <c r="AB29" s="376"/>
      <c r="AC29" s="376"/>
      <c r="AD29" s="376"/>
      <c r="AE29" s="376"/>
      <c r="AF29" s="39" t="s">
        <v>13</v>
      </c>
      <c r="AG29" s="376" t="s">
        <v>63</v>
      </c>
      <c r="AH29" s="376"/>
      <c r="AI29" s="376"/>
      <c r="AJ29" s="376"/>
      <c r="AK29" s="376"/>
      <c r="AL29" s="376"/>
      <c r="AM29" s="376"/>
      <c r="AN29" s="7" t="s">
        <v>16</v>
      </c>
      <c r="AO29" s="125"/>
    </row>
    <row r="30" spans="1:41" s="6" customFormat="1" ht="14.25" customHeight="1">
      <c r="A30" s="405" t="s">
        <v>64</v>
      </c>
      <c r="B30" s="406"/>
      <c r="C30" s="407"/>
      <c r="D30" s="407"/>
      <c r="E30" s="407"/>
      <c r="F30" s="407"/>
      <c r="G30" s="407"/>
      <c r="H30" s="41" t="s">
        <v>13</v>
      </c>
      <c r="I30" s="407" t="s">
        <v>65</v>
      </c>
      <c r="J30" s="407"/>
      <c r="K30" s="407"/>
      <c r="L30" s="407"/>
      <c r="M30" s="376"/>
      <c r="N30" s="376"/>
      <c r="O30" s="7" t="s">
        <v>13</v>
      </c>
      <c r="P30" s="376" t="s">
        <v>66</v>
      </c>
      <c r="Q30" s="376"/>
      <c r="R30" s="376"/>
      <c r="S30" s="376"/>
      <c r="T30" s="376"/>
      <c r="U30" s="376"/>
      <c r="V30" s="39" t="s">
        <v>13</v>
      </c>
      <c r="W30" s="376" t="s">
        <v>67</v>
      </c>
      <c r="X30" s="376"/>
      <c r="Y30" s="376"/>
      <c r="Z30" s="376"/>
      <c r="AA30" s="376"/>
      <c r="AB30" s="376"/>
      <c r="AC30" s="376"/>
      <c r="AD30" s="376"/>
      <c r="AE30" s="376"/>
      <c r="AF30" s="39" t="s">
        <v>13</v>
      </c>
      <c r="AG30" s="376"/>
      <c r="AH30" s="376"/>
      <c r="AI30" s="376"/>
      <c r="AJ30" s="376"/>
      <c r="AK30" s="376"/>
      <c r="AL30" s="376"/>
      <c r="AM30" s="376"/>
      <c r="AN30" s="40" t="s">
        <v>13</v>
      </c>
      <c r="AO30" s="126"/>
    </row>
    <row r="31" spans="1:41" s="6" customFormat="1" ht="16.5" customHeight="1">
      <c r="A31" s="256" t="s">
        <v>68</v>
      </c>
      <c r="B31" s="257"/>
      <c r="C31" s="257"/>
      <c r="D31" s="257"/>
      <c r="E31" s="257"/>
      <c r="F31" s="257"/>
      <c r="G31" s="257"/>
      <c r="H31" s="257"/>
      <c r="I31" s="257"/>
      <c r="J31" s="257"/>
      <c r="K31" s="257"/>
      <c r="L31" s="258"/>
      <c r="M31" s="413" t="s">
        <v>69</v>
      </c>
      <c r="N31" s="414"/>
      <c r="O31" s="414"/>
      <c r="P31" s="249" t="s">
        <v>170</v>
      </c>
      <c r="Q31" s="249"/>
      <c r="R31" s="249"/>
      <c r="S31" s="249"/>
      <c r="T31" s="249"/>
      <c r="U31" s="250"/>
      <c r="V31" s="186" t="s">
        <v>147</v>
      </c>
      <c r="W31" s="187"/>
      <c r="X31" s="164"/>
      <c r="Y31" s="165"/>
      <c r="Z31" s="246">
        <v>46204</v>
      </c>
      <c r="AA31" s="247"/>
      <c r="AB31" s="247"/>
      <c r="AC31" s="247"/>
      <c r="AD31" s="247"/>
      <c r="AE31" s="247"/>
      <c r="AF31" s="248"/>
      <c r="AG31" s="257"/>
      <c r="AH31" s="397"/>
      <c r="AI31" s="397"/>
      <c r="AJ31" s="51"/>
      <c r="AK31" s="51"/>
      <c r="AL31" s="51"/>
      <c r="AM31" s="51"/>
      <c r="AN31" s="51"/>
      <c r="AO31" s="127"/>
    </row>
    <row r="32" spans="1:41" s="6" customFormat="1" ht="16.5" customHeight="1">
      <c r="A32" s="253" t="s">
        <v>70</v>
      </c>
      <c r="B32" s="254"/>
      <c r="C32" s="254"/>
      <c r="D32" s="254"/>
      <c r="E32" s="254"/>
      <c r="F32" s="254"/>
      <c r="G32" s="254"/>
      <c r="H32" s="254"/>
      <c r="I32" s="254"/>
      <c r="J32" s="254"/>
      <c r="K32" s="254"/>
      <c r="L32" s="255"/>
      <c r="M32" s="425" t="s">
        <v>71</v>
      </c>
      <c r="N32" s="426"/>
      <c r="O32" s="426"/>
      <c r="P32" s="251" t="s">
        <v>171</v>
      </c>
      <c r="Q32" s="251"/>
      <c r="R32" s="251"/>
      <c r="S32" s="251"/>
      <c r="T32" s="251"/>
      <c r="U32" s="252"/>
      <c r="V32" s="188" t="s">
        <v>148</v>
      </c>
      <c r="W32" s="166"/>
      <c r="X32" s="244">
        <v>15150101</v>
      </c>
      <c r="Y32" s="244"/>
      <c r="Z32" s="244"/>
      <c r="AA32" s="244"/>
      <c r="AB32" s="244"/>
      <c r="AC32" s="244"/>
      <c r="AD32" s="244"/>
      <c r="AE32" s="244"/>
      <c r="AF32" s="245"/>
      <c r="AG32" s="379"/>
      <c r="AH32" s="380"/>
      <c r="AI32" s="380"/>
      <c r="AJ32" s="54"/>
      <c r="AK32" s="54"/>
      <c r="AL32" s="54"/>
      <c r="AM32" s="54"/>
      <c r="AN32" s="54"/>
      <c r="AO32" s="125"/>
    </row>
    <row r="33" spans="1:41" s="6" customFormat="1" ht="18" customHeight="1">
      <c r="A33" s="402" t="s">
        <v>72</v>
      </c>
      <c r="B33" s="403"/>
      <c r="C33" s="404"/>
      <c r="D33" s="404"/>
      <c r="E33" s="404"/>
      <c r="F33" s="404"/>
      <c r="G33" s="427" t="s">
        <v>73</v>
      </c>
      <c r="H33" s="427"/>
      <c r="I33" s="427"/>
      <c r="J33" s="427"/>
      <c r="K33" s="427"/>
      <c r="L33" s="427"/>
      <c r="M33" s="7" t="s">
        <v>16</v>
      </c>
      <c r="N33" s="43"/>
      <c r="O33" s="54"/>
      <c r="P33" s="55"/>
      <c r="Q33" s="43"/>
      <c r="R33" s="43"/>
      <c r="S33" s="56"/>
      <c r="T33" s="409" t="s">
        <v>74</v>
      </c>
      <c r="U33" s="410"/>
      <c r="V33" s="410"/>
      <c r="W33" s="410"/>
      <c r="X33" s="410"/>
      <c r="Y33" s="44"/>
      <c r="Z33" s="53"/>
      <c r="AA33" s="53"/>
      <c r="AB33" s="53"/>
      <c r="AC33" s="53"/>
      <c r="AD33" s="162" t="s">
        <v>75</v>
      </c>
      <c r="AE33" s="163" t="s">
        <v>75</v>
      </c>
      <c r="AF33" s="39" t="s">
        <v>16</v>
      </c>
      <c r="AG33" s="195" t="s">
        <v>76</v>
      </c>
      <c r="AH33" s="50"/>
      <c r="AI33" s="50"/>
      <c r="AJ33" s="50"/>
      <c r="AK33" s="50"/>
      <c r="AL33" s="50"/>
      <c r="AM33" s="377">
        <v>46784</v>
      </c>
      <c r="AN33" s="377"/>
      <c r="AO33" s="378"/>
    </row>
    <row r="34" spans="1:41" s="6" customFormat="1" ht="18" customHeight="1">
      <c r="A34" s="128"/>
      <c r="B34" s="52"/>
      <c r="C34" s="52"/>
      <c r="D34" s="52"/>
      <c r="E34" s="52"/>
      <c r="F34" s="52"/>
      <c r="G34" s="408" t="s">
        <v>77</v>
      </c>
      <c r="H34" s="408"/>
      <c r="I34" s="408"/>
      <c r="J34" s="408"/>
      <c r="K34" s="408"/>
      <c r="L34" s="408"/>
      <c r="M34" s="7" t="s">
        <v>13</v>
      </c>
      <c r="N34" s="52"/>
      <c r="O34" s="54"/>
      <c r="P34" s="55"/>
      <c r="Q34" s="43"/>
      <c r="R34" s="43"/>
      <c r="S34" s="56"/>
      <c r="T34" s="182"/>
      <c r="U34" s="398"/>
      <c r="V34" s="398"/>
      <c r="W34" s="7"/>
      <c r="X34" s="53"/>
      <c r="Y34" s="53"/>
      <c r="Z34" s="53"/>
      <c r="AA34" s="53"/>
      <c r="AB34" s="53"/>
      <c r="AC34" s="53"/>
      <c r="AD34" s="162" t="s">
        <v>78</v>
      </c>
      <c r="AE34" s="163" t="s">
        <v>78</v>
      </c>
      <c r="AF34" s="39" t="s">
        <v>13</v>
      </c>
      <c r="AG34" s="57" t="s">
        <v>79</v>
      </c>
      <c r="AH34" s="53"/>
      <c r="AI34" s="53"/>
      <c r="AJ34" s="53"/>
      <c r="AK34" s="53"/>
      <c r="AL34" s="53"/>
      <c r="AM34" s="259"/>
      <c r="AN34" s="259"/>
      <c r="AO34" s="260"/>
    </row>
    <row r="35" spans="1:41" s="6" customFormat="1" ht="12.75" customHeight="1">
      <c r="A35" s="395" t="s">
        <v>80</v>
      </c>
      <c r="B35" s="396"/>
      <c r="C35" s="396"/>
      <c r="D35" s="396"/>
      <c r="E35" s="396"/>
      <c r="F35" s="396"/>
      <c r="G35" s="183"/>
      <c r="H35" s="183"/>
      <c r="I35" s="107"/>
      <c r="J35" s="107"/>
      <c r="K35" s="107"/>
      <c r="L35" s="107"/>
      <c r="M35" s="107"/>
      <c r="N35" s="107"/>
      <c r="O35" s="184"/>
      <c r="P35" s="184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85"/>
    </row>
    <row r="36" spans="1:41" s="6" customFormat="1" ht="20.25" customHeight="1">
      <c r="A36" s="411"/>
      <c r="B36" s="412"/>
      <c r="C36" s="412"/>
      <c r="D36" s="412"/>
      <c r="E36" s="412"/>
      <c r="F36" s="412"/>
      <c r="G36" s="412"/>
      <c r="H36" s="412"/>
      <c r="I36" s="412"/>
      <c r="J36" s="412"/>
      <c r="K36" s="412"/>
      <c r="L36" s="412"/>
      <c r="M36" s="412"/>
      <c r="N36" s="412"/>
      <c r="O36" s="412"/>
      <c r="P36" s="412"/>
      <c r="Q36" s="412"/>
      <c r="R36" s="412"/>
      <c r="S36" s="412"/>
      <c r="T36" s="412"/>
      <c r="U36" s="412"/>
      <c r="V36" s="412"/>
      <c r="W36" s="412"/>
      <c r="X36" s="412"/>
      <c r="Y36" s="412"/>
      <c r="Z36" s="412"/>
      <c r="AA36" s="412"/>
      <c r="AB36" s="412"/>
      <c r="AC36" s="412"/>
      <c r="AD36" s="412"/>
      <c r="AE36" s="412"/>
      <c r="AF36" s="412"/>
      <c r="AG36" s="412"/>
      <c r="AO36" s="118"/>
    </row>
    <row r="37" spans="1:41" s="6" customFormat="1" ht="20.25" customHeight="1">
      <c r="A37" s="381"/>
      <c r="B37" s="382"/>
      <c r="C37" s="382"/>
      <c r="D37" s="382"/>
      <c r="E37" s="382"/>
      <c r="F37" s="382"/>
      <c r="G37" s="382"/>
      <c r="H37" s="382"/>
      <c r="I37" s="382"/>
      <c r="J37" s="382"/>
      <c r="K37" s="382"/>
      <c r="L37" s="382"/>
      <c r="M37" s="382"/>
      <c r="N37" s="382"/>
      <c r="O37" s="382"/>
      <c r="P37" s="382"/>
      <c r="Q37" s="382"/>
      <c r="R37" s="382"/>
      <c r="S37" s="382"/>
      <c r="T37" s="382"/>
      <c r="U37" s="382"/>
      <c r="V37" s="382"/>
      <c r="W37" s="382"/>
      <c r="X37" s="382"/>
      <c r="Y37" s="382"/>
      <c r="Z37" s="382"/>
      <c r="AA37" s="382"/>
      <c r="AB37" s="382"/>
      <c r="AC37" s="382"/>
      <c r="AD37" s="382"/>
      <c r="AE37" s="382"/>
      <c r="AF37" s="382"/>
      <c r="AG37" s="382"/>
      <c r="AO37" s="118"/>
    </row>
    <row r="38" spans="1:41" s="6" customFormat="1" ht="20.25" customHeight="1">
      <c r="A38" s="372"/>
      <c r="B38" s="373"/>
      <c r="C38" s="373"/>
      <c r="D38" s="373"/>
      <c r="E38" s="373"/>
      <c r="F38" s="373"/>
      <c r="G38" s="373"/>
      <c r="H38" s="373"/>
      <c r="I38" s="373"/>
      <c r="J38" s="373"/>
      <c r="K38" s="373"/>
      <c r="L38" s="373"/>
      <c r="M38" s="373"/>
      <c r="N38" s="373"/>
      <c r="O38" s="373"/>
      <c r="P38" s="373"/>
      <c r="Q38" s="373"/>
      <c r="R38" s="373"/>
      <c r="S38" s="373"/>
      <c r="T38" s="373"/>
      <c r="U38" s="373"/>
      <c r="V38" s="373"/>
      <c r="W38" s="373"/>
      <c r="X38" s="373"/>
      <c r="Y38" s="373"/>
      <c r="Z38" s="373"/>
      <c r="AA38" s="373"/>
      <c r="AB38" s="373"/>
      <c r="AC38" s="373"/>
      <c r="AD38" s="373"/>
      <c r="AE38" s="373"/>
      <c r="AF38" s="373"/>
      <c r="AG38" s="373"/>
      <c r="AH38" s="129"/>
      <c r="AI38" s="129"/>
      <c r="AJ38" s="129"/>
      <c r="AK38" s="129"/>
      <c r="AL38" s="129"/>
      <c r="AM38" s="129"/>
      <c r="AN38" s="129"/>
      <c r="AO38" s="130"/>
    </row>
    <row r="39" spans="1:41" ht="19.5" customHeight="1">
      <c r="A39" s="214" t="s">
        <v>162</v>
      </c>
      <c r="O39" s="58"/>
      <c r="Y39" s="291" t="s">
        <v>153</v>
      </c>
      <c r="Z39" s="291"/>
      <c r="AA39" s="291"/>
      <c r="AB39" s="291"/>
      <c r="AC39" s="291"/>
      <c r="AD39" s="291"/>
      <c r="AE39" s="291"/>
      <c r="AF39" s="291"/>
      <c r="AG39" s="291"/>
      <c r="AH39" s="291"/>
      <c r="AI39" s="291"/>
      <c r="AJ39" s="291"/>
      <c r="AK39" s="291"/>
      <c r="AL39" s="291"/>
      <c r="AM39" s="291"/>
      <c r="AN39" s="291"/>
      <c r="AO39" s="291"/>
    </row>
    <row r="40" spans="1:41" ht="12.75" customHeight="1">
      <c r="A40" s="131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3"/>
      <c r="P40" s="133"/>
      <c r="Q40" s="132"/>
      <c r="R40" s="132"/>
      <c r="S40" s="132"/>
      <c r="T40" s="132"/>
      <c r="U40" s="132"/>
      <c r="V40" s="132"/>
      <c r="W40" s="132"/>
      <c r="X40" s="132"/>
      <c r="Y40" s="134"/>
      <c r="Z40" s="132"/>
      <c r="AA40" s="132"/>
      <c r="AB40" s="132"/>
      <c r="AC40" s="132"/>
      <c r="AD40" s="132"/>
      <c r="AE40" s="132"/>
      <c r="AF40" s="132"/>
      <c r="AG40" s="132"/>
      <c r="AH40" s="132"/>
      <c r="AI40" s="132"/>
      <c r="AJ40" s="132"/>
      <c r="AK40" s="132"/>
      <c r="AL40" s="132"/>
      <c r="AM40" s="132"/>
      <c r="AN40" s="132"/>
      <c r="AO40" s="135"/>
    </row>
    <row r="41" spans="1:41" ht="18" customHeight="1">
      <c r="A41" s="136" t="s">
        <v>81</v>
      </c>
      <c r="B41" s="201"/>
      <c r="H41" s="284" t="str">
        <f>V3</f>
        <v>EDB101120250925</v>
      </c>
      <c r="I41" s="284"/>
      <c r="J41" s="284"/>
      <c r="K41" s="284"/>
      <c r="L41" s="284"/>
      <c r="M41" s="284"/>
      <c r="N41" s="284"/>
      <c r="O41" s="284"/>
      <c r="P41" s="284"/>
      <c r="Q41" s="284"/>
      <c r="R41" s="284"/>
      <c r="S41" s="12"/>
      <c r="T41" s="12"/>
      <c r="U41" s="12"/>
      <c r="AG41" s="285" t="s">
        <v>82</v>
      </c>
      <c r="AH41" s="285"/>
      <c r="AI41" s="2">
        <v>2</v>
      </c>
      <c r="AJ41" s="2" t="s">
        <v>1</v>
      </c>
      <c r="AK41" s="2">
        <f>AJ3</f>
        <v>3</v>
      </c>
      <c r="AO41" s="79"/>
    </row>
    <row r="42" spans="1:41" ht="19.5" customHeight="1">
      <c r="A42" s="112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5"/>
      <c r="P42" s="15"/>
      <c r="Q42" s="14"/>
      <c r="R42" s="14"/>
      <c r="S42" s="14"/>
      <c r="T42" s="14"/>
      <c r="U42" s="14"/>
      <c r="AO42" s="79"/>
    </row>
    <row r="43" spans="1:41" ht="15" customHeight="1">
      <c r="A43" s="193" t="s">
        <v>54</v>
      </c>
      <c r="B43" s="202"/>
      <c r="C43" s="59"/>
      <c r="D43" s="59"/>
      <c r="E43" s="59"/>
      <c r="F43" s="59" t="s">
        <v>83</v>
      </c>
      <c r="G43" s="59"/>
      <c r="H43" s="59"/>
      <c r="I43" s="59"/>
      <c r="J43" s="59"/>
      <c r="K43" s="337" t="str">
        <f>D10</f>
        <v>LV-UM-Mb-55</v>
      </c>
      <c r="L43" s="337"/>
      <c r="M43" s="337"/>
      <c r="N43" s="337"/>
      <c r="O43" s="337"/>
      <c r="P43" s="337"/>
      <c r="Q43" s="337"/>
      <c r="R43" s="337"/>
      <c r="S43" s="337"/>
      <c r="T43" s="337"/>
      <c r="U43" s="59" t="s">
        <v>84</v>
      </c>
      <c r="V43" s="338" t="s">
        <v>85</v>
      </c>
      <c r="W43" s="339"/>
      <c r="X43" s="339"/>
      <c r="Y43" s="429" t="s">
        <v>227</v>
      </c>
      <c r="Z43" s="429"/>
      <c r="AA43" s="429"/>
      <c r="AB43" s="429"/>
      <c r="AC43" s="429"/>
      <c r="AD43" s="429"/>
      <c r="AE43" s="429"/>
      <c r="AF43" s="429"/>
      <c r="AG43" s="429"/>
      <c r="AH43" s="190"/>
      <c r="AI43" s="190"/>
      <c r="AJ43" s="191"/>
      <c r="AK43" s="191"/>
      <c r="AL43" s="191"/>
      <c r="AM43" s="191"/>
      <c r="AN43" s="191"/>
      <c r="AO43" s="192"/>
    </row>
    <row r="44" spans="1:41" s="6" customFormat="1" ht="16.149999999999999" customHeight="1">
      <c r="A44" s="139"/>
      <c r="B44" s="203"/>
      <c r="C44" s="309" t="s">
        <v>86</v>
      </c>
      <c r="D44" s="309"/>
      <c r="E44" s="309"/>
      <c r="F44" s="309"/>
      <c r="G44" s="62"/>
      <c r="H44" s="63"/>
      <c r="I44" s="310" t="s">
        <v>87</v>
      </c>
      <c r="J44" s="310"/>
      <c r="K44" s="310"/>
      <c r="L44" s="310"/>
      <c r="M44" s="310"/>
      <c r="N44" s="310"/>
      <c r="O44" s="64" t="s">
        <v>88</v>
      </c>
      <c r="P44" s="65" t="s">
        <v>127</v>
      </c>
      <c r="Q44" s="309" t="s">
        <v>89</v>
      </c>
      <c r="R44" s="309"/>
      <c r="S44" s="309"/>
      <c r="T44" s="309"/>
      <c r="U44" s="309"/>
      <c r="V44" s="311"/>
      <c r="W44" s="311"/>
      <c r="X44" s="312"/>
      <c r="Y44" s="313" t="s">
        <v>128</v>
      </c>
      <c r="Z44" s="314"/>
      <c r="AA44" s="315"/>
      <c r="AB44" s="320" t="s">
        <v>90</v>
      </c>
      <c r="AC44" s="321" t="s">
        <v>91</v>
      </c>
      <c r="AD44" s="323" t="s">
        <v>92</v>
      </c>
      <c r="AE44" s="323"/>
      <c r="AF44" s="323"/>
      <c r="AG44" s="323"/>
      <c r="AH44" s="323"/>
      <c r="AI44" s="323"/>
      <c r="AJ44" s="323"/>
      <c r="AK44" s="323"/>
      <c r="AL44" s="323"/>
      <c r="AM44" s="323"/>
      <c r="AN44" s="305" t="s">
        <v>129</v>
      </c>
      <c r="AO44" s="306"/>
    </row>
    <row r="45" spans="1:41" s="6" customFormat="1" ht="16.149999999999999" customHeight="1">
      <c r="A45" s="140" t="s">
        <v>155</v>
      </c>
      <c r="B45" s="196" t="s">
        <v>156</v>
      </c>
      <c r="C45" s="308" t="s">
        <v>157</v>
      </c>
      <c r="D45" s="308"/>
      <c r="E45" s="308"/>
      <c r="F45" s="308"/>
      <c r="G45" s="308"/>
      <c r="H45" s="308"/>
      <c r="I45" s="296" t="s">
        <v>93</v>
      </c>
      <c r="J45" s="296"/>
      <c r="K45" s="318" t="s">
        <v>94</v>
      </c>
      <c r="L45" s="319"/>
      <c r="M45" s="319"/>
      <c r="N45" s="319"/>
      <c r="O45" s="66" t="s">
        <v>95</v>
      </c>
      <c r="P45" s="67" t="s">
        <v>96</v>
      </c>
      <c r="Q45" s="319" t="s">
        <v>97</v>
      </c>
      <c r="R45" s="308"/>
      <c r="S45" s="296" t="s">
        <v>130</v>
      </c>
      <c r="T45" s="296"/>
      <c r="U45" s="68" t="s">
        <v>131</v>
      </c>
      <c r="V45" s="69" t="s">
        <v>132</v>
      </c>
      <c r="W45" s="308" t="s">
        <v>143</v>
      </c>
      <c r="X45" s="308"/>
      <c r="Y45" s="70" t="s">
        <v>13</v>
      </c>
      <c r="Z45" s="316" t="s">
        <v>13</v>
      </c>
      <c r="AA45" s="317"/>
      <c r="AB45" s="320"/>
      <c r="AC45" s="321"/>
      <c r="AD45" s="71" t="s">
        <v>98</v>
      </c>
      <c r="AE45" s="174" t="s">
        <v>130</v>
      </c>
      <c r="AF45" s="174" t="s">
        <v>133</v>
      </c>
      <c r="AG45" s="296" t="s">
        <v>134</v>
      </c>
      <c r="AH45" s="296"/>
      <c r="AI45" s="307" t="s">
        <v>99</v>
      </c>
      <c r="AJ45" s="307"/>
      <c r="AK45" s="308" t="s">
        <v>135</v>
      </c>
      <c r="AL45" s="308"/>
      <c r="AM45" s="308"/>
      <c r="AN45" s="305"/>
      <c r="AO45" s="306"/>
    </row>
    <row r="46" spans="1:41" s="6" customFormat="1" ht="16.149999999999999" customHeight="1">
      <c r="A46" s="141"/>
      <c r="B46" s="210"/>
      <c r="C46" s="72"/>
      <c r="D46" s="72"/>
      <c r="E46" s="72"/>
      <c r="F46" s="72"/>
      <c r="G46" s="212"/>
      <c r="H46" s="73"/>
      <c r="I46" s="48"/>
      <c r="J46" s="49"/>
      <c r="K46" s="319" t="s">
        <v>100</v>
      </c>
      <c r="L46" s="319"/>
      <c r="M46" s="319" t="s">
        <v>101</v>
      </c>
      <c r="N46" s="324"/>
      <c r="O46" s="74"/>
      <c r="P46" s="75"/>
      <c r="Q46" s="325"/>
      <c r="R46" s="308"/>
      <c r="U46" s="76"/>
      <c r="V46" s="77"/>
      <c r="W46" s="326"/>
      <c r="X46" s="327"/>
      <c r="Y46" s="78" t="s">
        <v>103</v>
      </c>
      <c r="Z46" s="328" t="s">
        <v>104</v>
      </c>
      <c r="AA46" s="329"/>
      <c r="AB46" s="320"/>
      <c r="AC46" s="321"/>
      <c r="AD46" s="81" t="s">
        <v>97</v>
      </c>
      <c r="AE46" s="175" t="s">
        <v>105</v>
      </c>
      <c r="AG46" s="330" t="s">
        <v>105</v>
      </c>
      <c r="AH46" s="330"/>
      <c r="AI46" s="296" t="s">
        <v>106</v>
      </c>
      <c r="AJ46" s="296"/>
      <c r="AN46" s="305"/>
      <c r="AO46" s="306"/>
    </row>
    <row r="47" spans="1:41" s="6" customFormat="1" ht="15" customHeight="1">
      <c r="A47" s="141"/>
      <c r="B47" s="210"/>
      <c r="C47" s="72"/>
      <c r="D47" s="72"/>
      <c r="E47" s="72"/>
      <c r="F47" s="72"/>
      <c r="G47" s="212"/>
      <c r="H47" s="73"/>
      <c r="I47"/>
      <c r="J47" s="79"/>
      <c r="K47" s="319"/>
      <c r="L47" s="319"/>
      <c r="M47" s="319"/>
      <c r="N47" s="324"/>
      <c r="O47" s="74"/>
      <c r="P47" s="75"/>
      <c r="Q47" s="325" t="s">
        <v>102</v>
      </c>
      <c r="R47" s="308"/>
      <c r="S47" s="331" t="s">
        <v>108</v>
      </c>
      <c r="T47" s="327"/>
      <c r="U47" s="80" t="s">
        <v>109</v>
      </c>
      <c r="V47" s="81" t="s">
        <v>110</v>
      </c>
      <c r="W47" s="332" t="s">
        <v>109</v>
      </c>
      <c r="X47" s="333"/>
      <c r="Y47" s="82" t="s">
        <v>111</v>
      </c>
      <c r="Z47" s="334" t="s">
        <v>111</v>
      </c>
      <c r="AA47" s="335"/>
      <c r="AB47" s="83" t="s">
        <v>136</v>
      </c>
      <c r="AC47" s="321"/>
      <c r="AD47" s="176" t="s">
        <v>108</v>
      </c>
      <c r="AE47" s="84"/>
      <c r="AF47" s="176" t="s">
        <v>105</v>
      </c>
      <c r="AG47" s="336" t="s">
        <v>112</v>
      </c>
      <c r="AH47" s="336"/>
      <c r="AI47" s="296" t="s">
        <v>137</v>
      </c>
      <c r="AJ47" s="296"/>
      <c r="AK47" s="308" t="s">
        <v>138</v>
      </c>
      <c r="AL47" s="308"/>
      <c r="AM47" s="308"/>
      <c r="AN47" s="305" t="s">
        <v>113</v>
      </c>
      <c r="AO47" s="306"/>
    </row>
    <row r="48" spans="1:41" ht="14.25" customHeight="1">
      <c r="A48" s="142"/>
      <c r="B48" s="211"/>
      <c r="G48" s="137"/>
      <c r="H48" s="13"/>
      <c r="J48" s="79"/>
      <c r="M48" s="300" t="s">
        <v>114</v>
      </c>
      <c r="N48" s="300"/>
      <c r="O48" s="86"/>
      <c r="P48" s="87"/>
      <c r="Q48" s="266" t="s">
        <v>107</v>
      </c>
      <c r="R48" s="267"/>
      <c r="S48" s="11"/>
      <c r="T48" s="13"/>
      <c r="U48" s="85"/>
      <c r="V48" s="85"/>
      <c r="X48" s="13"/>
      <c r="Y48" s="88"/>
      <c r="AA48" s="79"/>
      <c r="AB48" s="89" t="s">
        <v>139</v>
      </c>
      <c r="AC48" s="322"/>
      <c r="AD48" s="13"/>
      <c r="AE48" s="85"/>
      <c r="AF48" s="85"/>
      <c r="AG48" s="11"/>
      <c r="AH48" s="13"/>
      <c r="AI48" s="301" t="s">
        <v>115</v>
      </c>
      <c r="AJ48" s="302"/>
      <c r="AK48" s="53"/>
      <c r="AL48" s="53" t="s">
        <v>116</v>
      </c>
      <c r="AM48" s="49"/>
      <c r="AN48" s="303" t="s">
        <v>117</v>
      </c>
      <c r="AO48" s="304"/>
    </row>
    <row r="49" spans="1:41" ht="16.149999999999999" customHeight="1">
      <c r="A49" s="215"/>
      <c r="B49" s="197" t="s">
        <v>172</v>
      </c>
      <c r="C49" s="434" t="s">
        <v>174</v>
      </c>
      <c r="D49" s="349"/>
      <c r="E49" s="349"/>
      <c r="F49" s="349"/>
      <c r="G49" s="349"/>
      <c r="H49" s="236"/>
      <c r="I49" s="417" t="s">
        <v>180</v>
      </c>
      <c r="J49" s="428"/>
      <c r="K49" s="151">
        <v>5</v>
      </c>
      <c r="L49" s="232" t="s">
        <v>181</v>
      </c>
      <c r="M49" s="240">
        <v>16</v>
      </c>
      <c r="N49" s="241"/>
      <c r="O49" s="150">
        <v>227</v>
      </c>
      <c r="P49" s="154">
        <v>50</v>
      </c>
      <c r="Q49" s="281" t="s">
        <v>182</v>
      </c>
      <c r="R49" s="282"/>
      <c r="S49" s="424" t="s">
        <v>183</v>
      </c>
      <c r="T49" s="280"/>
      <c r="U49" s="155">
        <v>0.33</v>
      </c>
      <c r="V49" s="155">
        <v>0.42</v>
      </c>
      <c r="W49" s="261">
        <v>0.69099999999999995</v>
      </c>
      <c r="X49" s="263"/>
      <c r="Y49" s="223" t="s">
        <v>185</v>
      </c>
      <c r="Z49" s="270"/>
      <c r="AA49" s="271"/>
      <c r="AB49" s="153"/>
      <c r="AC49" s="91" t="s">
        <v>13</v>
      </c>
      <c r="AD49" s="149"/>
      <c r="AE49" s="90"/>
      <c r="AF49" s="149"/>
      <c r="AG49" s="261"/>
      <c r="AH49" s="263"/>
      <c r="AI49" s="261"/>
      <c r="AJ49" s="263"/>
      <c r="AK49" s="261"/>
      <c r="AL49" s="262"/>
      <c r="AM49" s="263"/>
      <c r="AN49" s="261"/>
      <c r="AO49" s="271"/>
    </row>
    <row r="50" spans="1:41" ht="16.149999999999999" customHeight="1">
      <c r="A50" s="215" t="s">
        <v>210</v>
      </c>
      <c r="B50" s="198" t="s">
        <v>172</v>
      </c>
      <c r="C50" s="434" t="s">
        <v>175</v>
      </c>
      <c r="D50" s="349"/>
      <c r="E50" s="349"/>
      <c r="F50" s="349"/>
      <c r="G50" s="349"/>
      <c r="H50" s="236"/>
      <c r="I50" s="417" t="s">
        <v>180</v>
      </c>
      <c r="J50" s="275"/>
      <c r="K50" s="151">
        <v>5</v>
      </c>
      <c r="L50" s="194" t="s">
        <v>181</v>
      </c>
      <c r="M50" s="240">
        <v>16</v>
      </c>
      <c r="N50" s="241"/>
      <c r="O50" s="150">
        <v>228</v>
      </c>
      <c r="P50" s="154">
        <v>50</v>
      </c>
      <c r="Q50" s="281" t="s">
        <v>182</v>
      </c>
      <c r="R50" s="282"/>
      <c r="S50" s="424" t="s">
        <v>183</v>
      </c>
      <c r="T50" s="280"/>
      <c r="U50" s="155">
        <v>0.37</v>
      </c>
      <c r="V50" s="155">
        <v>0.39</v>
      </c>
      <c r="W50" s="261">
        <v>0.621</v>
      </c>
      <c r="X50" s="263"/>
      <c r="Y50" s="223" t="s">
        <v>185</v>
      </c>
      <c r="Z50" s="270"/>
      <c r="AA50" s="271"/>
      <c r="AB50" s="153">
        <v>0.12</v>
      </c>
      <c r="AC50" s="91" t="s">
        <v>13</v>
      </c>
      <c r="AD50" s="149"/>
      <c r="AE50" s="90"/>
      <c r="AF50" s="149"/>
      <c r="AG50" s="261"/>
      <c r="AH50" s="263"/>
      <c r="AI50" s="261"/>
      <c r="AJ50" s="263"/>
      <c r="AK50" s="261"/>
      <c r="AL50" s="262"/>
      <c r="AM50" s="263"/>
      <c r="AN50" s="261"/>
      <c r="AO50" s="271"/>
    </row>
    <row r="51" spans="1:41" ht="16.149999999999999" customHeight="1">
      <c r="A51" s="216"/>
      <c r="B51" s="233" t="s">
        <v>172</v>
      </c>
      <c r="C51" s="434" t="s">
        <v>176</v>
      </c>
      <c r="D51" s="349"/>
      <c r="E51" s="349"/>
      <c r="F51" s="349"/>
      <c r="G51" s="349"/>
      <c r="H51" s="236"/>
      <c r="I51" s="417" t="s">
        <v>180</v>
      </c>
      <c r="J51" s="275"/>
      <c r="K51" s="151">
        <v>5</v>
      </c>
      <c r="L51" s="194" t="s">
        <v>181</v>
      </c>
      <c r="M51" s="240">
        <v>16</v>
      </c>
      <c r="N51" s="241"/>
      <c r="O51" s="150">
        <v>227</v>
      </c>
      <c r="P51" s="154">
        <v>50</v>
      </c>
      <c r="Q51" s="281" t="s">
        <v>182</v>
      </c>
      <c r="R51" s="282"/>
      <c r="S51" s="279" t="s">
        <v>183</v>
      </c>
      <c r="T51" s="280"/>
      <c r="U51" s="155">
        <v>0.35</v>
      </c>
      <c r="V51" s="155">
        <v>0.4</v>
      </c>
      <c r="W51" s="261">
        <v>0.65300000000000002</v>
      </c>
      <c r="X51" s="263"/>
      <c r="Y51" s="223" t="s">
        <v>185</v>
      </c>
      <c r="Z51" s="270"/>
      <c r="AA51" s="271"/>
      <c r="AB51" s="153"/>
      <c r="AC51" s="91" t="s">
        <v>13</v>
      </c>
      <c r="AD51" s="149"/>
      <c r="AE51" s="90"/>
      <c r="AF51" s="149"/>
      <c r="AG51" s="261"/>
      <c r="AH51" s="263"/>
      <c r="AI51" s="261"/>
      <c r="AJ51" s="263"/>
      <c r="AK51" s="261"/>
      <c r="AL51" s="262"/>
      <c r="AM51" s="263"/>
      <c r="AN51" s="261"/>
      <c r="AO51" s="271"/>
    </row>
    <row r="52" spans="1:41" ht="16.149999999999999" customHeight="1">
      <c r="A52" s="215"/>
      <c r="B52" s="227" t="s">
        <v>173</v>
      </c>
      <c r="C52" s="434" t="s">
        <v>177</v>
      </c>
      <c r="D52" s="349"/>
      <c r="E52" s="349"/>
      <c r="F52" s="349"/>
      <c r="G52" s="349"/>
      <c r="H52" s="236"/>
      <c r="I52" s="417" t="s">
        <v>180</v>
      </c>
      <c r="J52" s="275"/>
      <c r="K52" s="151">
        <v>5</v>
      </c>
      <c r="L52" s="226" t="s">
        <v>181</v>
      </c>
      <c r="M52" s="240">
        <v>10</v>
      </c>
      <c r="N52" s="241"/>
      <c r="O52" s="150">
        <v>220</v>
      </c>
      <c r="P52" s="154">
        <v>50</v>
      </c>
      <c r="Q52" s="281" t="s">
        <v>182</v>
      </c>
      <c r="R52" s="282"/>
      <c r="S52" s="279" t="s">
        <v>184</v>
      </c>
      <c r="T52" s="280"/>
      <c r="U52" s="155">
        <v>0.54</v>
      </c>
      <c r="V52" s="155">
        <v>0.73</v>
      </c>
      <c r="W52" s="261">
        <v>0.40400000000000003</v>
      </c>
      <c r="X52" s="263"/>
      <c r="Y52" s="223" t="s">
        <v>185</v>
      </c>
      <c r="Z52" s="270"/>
      <c r="AA52" s="271"/>
      <c r="AB52" s="153"/>
      <c r="AC52" s="91" t="s">
        <v>13</v>
      </c>
      <c r="AD52" s="149"/>
      <c r="AE52" s="90"/>
      <c r="AF52" s="149"/>
      <c r="AG52" s="261"/>
      <c r="AH52" s="263"/>
      <c r="AI52" s="261"/>
      <c r="AJ52" s="263"/>
      <c r="AK52" s="261"/>
      <c r="AL52" s="262"/>
      <c r="AM52" s="263"/>
      <c r="AN52" s="261"/>
      <c r="AO52" s="271"/>
    </row>
    <row r="53" spans="1:41" ht="16.149999999999999" customHeight="1">
      <c r="A53" s="216" t="s">
        <v>210</v>
      </c>
      <c r="B53" s="229" t="s">
        <v>173</v>
      </c>
      <c r="C53" s="261" t="s">
        <v>178</v>
      </c>
      <c r="D53" s="262"/>
      <c r="E53" s="262"/>
      <c r="F53" s="262"/>
      <c r="G53" s="262"/>
      <c r="H53" s="237"/>
      <c r="I53" s="417" t="s">
        <v>180</v>
      </c>
      <c r="J53" s="275"/>
      <c r="K53" s="151">
        <v>5</v>
      </c>
      <c r="L53" s="226" t="s">
        <v>181</v>
      </c>
      <c r="M53" s="240">
        <v>10</v>
      </c>
      <c r="N53" s="241"/>
      <c r="O53" s="150">
        <v>220</v>
      </c>
      <c r="P53" s="154">
        <v>50</v>
      </c>
      <c r="Q53" s="281" t="s">
        <v>182</v>
      </c>
      <c r="R53" s="282"/>
      <c r="S53" s="279" t="s">
        <v>184</v>
      </c>
      <c r="T53" s="280"/>
      <c r="U53" s="155">
        <v>0.52</v>
      </c>
      <c r="V53" s="155">
        <v>0.75</v>
      </c>
      <c r="W53" s="261">
        <v>0.45200000000000001</v>
      </c>
      <c r="X53" s="263"/>
      <c r="Y53" s="223" t="s">
        <v>185</v>
      </c>
      <c r="Z53" s="270"/>
      <c r="AA53" s="271"/>
      <c r="AB53" s="153">
        <v>0.15</v>
      </c>
      <c r="AC53" s="91" t="s">
        <v>13</v>
      </c>
      <c r="AD53" s="149"/>
      <c r="AE53" s="90"/>
      <c r="AF53" s="149"/>
      <c r="AG53" s="261"/>
      <c r="AH53" s="263"/>
      <c r="AI53" s="261"/>
      <c r="AJ53" s="263"/>
      <c r="AK53" s="261"/>
      <c r="AL53" s="262"/>
      <c r="AM53" s="263"/>
      <c r="AN53" s="261"/>
      <c r="AO53" s="271"/>
    </row>
    <row r="54" spans="1:41" ht="16.149999999999999" customHeight="1">
      <c r="A54" s="216"/>
      <c r="B54" s="229" t="s">
        <v>173</v>
      </c>
      <c r="C54" s="434" t="s">
        <v>179</v>
      </c>
      <c r="D54" s="349"/>
      <c r="E54" s="349"/>
      <c r="F54" s="349"/>
      <c r="G54" s="349"/>
      <c r="H54" s="236"/>
      <c r="I54" s="417" t="s">
        <v>180</v>
      </c>
      <c r="J54" s="275"/>
      <c r="K54" s="151">
        <v>5</v>
      </c>
      <c r="L54" s="226" t="s">
        <v>181</v>
      </c>
      <c r="M54" s="240">
        <v>10</v>
      </c>
      <c r="N54" s="241"/>
      <c r="O54" s="150">
        <v>220</v>
      </c>
      <c r="P54" s="154">
        <v>50</v>
      </c>
      <c r="Q54" s="281" t="s">
        <v>182</v>
      </c>
      <c r="R54" s="282"/>
      <c r="S54" s="279" t="s">
        <v>184</v>
      </c>
      <c r="T54" s="280"/>
      <c r="U54" s="155">
        <v>0.53</v>
      </c>
      <c r="V54" s="155">
        <v>0.73</v>
      </c>
      <c r="W54" s="261">
        <v>0.41799999999999998</v>
      </c>
      <c r="X54" s="263"/>
      <c r="Y54" s="223" t="s">
        <v>185</v>
      </c>
      <c r="Z54" s="270"/>
      <c r="AA54" s="271"/>
      <c r="AB54" s="153"/>
      <c r="AC54" s="91" t="s">
        <v>13</v>
      </c>
      <c r="AD54" s="149"/>
      <c r="AE54" s="90"/>
      <c r="AF54" s="149"/>
      <c r="AG54" s="261"/>
      <c r="AH54" s="263"/>
      <c r="AI54" s="261"/>
      <c r="AJ54" s="263"/>
      <c r="AK54" s="261"/>
      <c r="AL54" s="262"/>
      <c r="AM54" s="263"/>
      <c r="AN54" s="261"/>
      <c r="AO54" s="271"/>
    </row>
    <row r="55" spans="1:41" ht="16.149999999999999" customHeight="1">
      <c r="A55" s="215"/>
      <c r="B55" s="227" t="s">
        <v>188</v>
      </c>
      <c r="C55" s="261" t="s">
        <v>186</v>
      </c>
      <c r="D55" s="262"/>
      <c r="E55" s="262"/>
      <c r="F55" s="262"/>
      <c r="G55" s="262"/>
      <c r="H55" s="237"/>
      <c r="I55" s="264" t="s">
        <v>206</v>
      </c>
      <c r="J55" s="275"/>
      <c r="K55" s="151"/>
      <c r="L55" s="194"/>
      <c r="M55" s="240"/>
      <c r="N55" s="241"/>
      <c r="O55" s="150"/>
      <c r="P55" s="154"/>
      <c r="Q55" s="281" t="s">
        <v>182</v>
      </c>
      <c r="R55" s="282"/>
      <c r="S55" s="279" t="s">
        <v>207</v>
      </c>
      <c r="T55" s="280"/>
      <c r="U55" s="155"/>
      <c r="V55" s="155"/>
      <c r="W55" s="261"/>
      <c r="X55" s="263"/>
      <c r="Y55" s="223"/>
      <c r="Z55" s="270"/>
      <c r="AA55" s="271"/>
      <c r="AB55" s="153"/>
      <c r="AC55" s="91" t="s">
        <v>13</v>
      </c>
      <c r="AD55" s="149"/>
      <c r="AE55" s="90"/>
      <c r="AF55" s="149"/>
      <c r="AG55" s="261"/>
      <c r="AH55" s="263"/>
      <c r="AI55" s="261"/>
      <c r="AJ55" s="263"/>
      <c r="AK55" s="261"/>
      <c r="AL55" s="262"/>
      <c r="AM55" s="263"/>
      <c r="AN55" s="261"/>
      <c r="AO55" s="271"/>
    </row>
    <row r="56" spans="1:41" ht="16.149999999999999" customHeight="1">
      <c r="A56" s="216"/>
      <c r="B56" s="234" t="s">
        <v>189</v>
      </c>
      <c r="C56" s="261" t="s">
        <v>186</v>
      </c>
      <c r="D56" s="262"/>
      <c r="E56" s="262"/>
      <c r="F56" s="262"/>
      <c r="G56" s="262"/>
      <c r="H56" s="237"/>
      <c r="I56" s="264" t="s">
        <v>206</v>
      </c>
      <c r="J56" s="275"/>
      <c r="K56" s="151"/>
      <c r="L56" s="194"/>
      <c r="M56" s="240"/>
      <c r="N56" s="241"/>
      <c r="O56" s="150"/>
      <c r="P56" s="154"/>
      <c r="Q56" s="281" t="s">
        <v>182</v>
      </c>
      <c r="R56" s="282"/>
      <c r="S56" s="279" t="s">
        <v>207</v>
      </c>
      <c r="T56" s="280"/>
      <c r="U56" s="155"/>
      <c r="V56" s="155"/>
      <c r="W56" s="261"/>
      <c r="X56" s="263"/>
      <c r="Y56" s="152"/>
      <c r="Z56" s="270"/>
      <c r="AA56" s="271"/>
      <c r="AB56" s="153"/>
      <c r="AC56" s="91" t="s">
        <v>13</v>
      </c>
      <c r="AD56" s="149"/>
      <c r="AE56" s="90"/>
      <c r="AF56" s="149"/>
      <c r="AG56" s="261"/>
      <c r="AH56" s="263"/>
      <c r="AI56" s="261"/>
      <c r="AJ56" s="263"/>
      <c r="AK56" s="261"/>
      <c r="AL56" s="262"/>
      <c r="AM56" s="263"/>
      <c r="AN56" s="261"/>
      <c r="AO56" s="271"/>
    </row>
    <row r="57" spans="1:41" ht="16.149999999999999" customHeight="1">
      <c r="A57" s="216"/>
      <c r="B57" s="234" t="s">
        <v>190</v>
      </c>
      <c r="C57" s="261" t="s">
        <v>186</v>
      </c>
      <c r="D57" s="262"/>
      <c r="E57" s="262"/>
      <c r="F57" s="262"/>
      <c r="G57" s="262"/>
      <c r="H57" s="237"/>
      <c r="I57" s="264" t="s">
        <v>206</v>
      </c>
      <c r="J57" s="275"/>
      <c r="K57" s="151"/>
      <c r="L57" s="194"/>
      <c r="M57" s="240"/>
      <c r="N57" s="241"/>
      <c r="O57" s="150"/>
      <c r="P57" s="154"/>
      <c r="Q57" s="281" t="s">
        <v>182</v>
      </c>
      <c r="R57" s="282"/>
      <c r="S57" s="279" t="s">
        <v>207</v>
      </c>
      <c r="T57" s="280"/>
      <c r="U57" s="155"/>
      <c r="V57" s="155"/>
      <c r="W57" s="261"/>
      <c r="X57" s="263"/>
      <c r="Y57" s="152"/>
      <c r="Z57" s="270"/>
      <c r="AA57" s="271"/>
      <c r="AB57" s="153"/>
      <c r="AC57" s="91" t="s">
        <v>13</v>
      </c>
      <c r="AD57" s="149"/>
      <c r="AE57" s="90"/>
      <c r="AF57" s="149"/>
      <c r="AG57" s="261"/>
      <c r="AH57" s="263"/>
      <c r="AI57" s="261"/>
      <c r="AJ57" s="263"/>
      <c r="AK57" s="261"/>
      <c r="AL57" s="262"/>
      <c r="AM57" s="263"/>
      <c r="AN57" s="261"/>
      <c r="AO57" s="271"/>
    </row>
    <row r="58" spans="1:41" ht="16.149999999999999" customHeight="1">
      <c r="A58" s="216"/>
      <c r="B58" s="234" t="s">
        <v>191</v>
      </c>
      <c r="C58" s="261" t="s">
        <v>187</v>
      </c>
      <c r="D58" s="262"/>
      <c r="E58" s="262"/>
      <c r="F58" s="262"/>
      <c r="G58" s="262"/>
      <c r="H58" s="237"/>
      <c r="I58" s="264" t="s">
        <v>206</v>
      </c>
      <c r="J58" s="275"/>
      <c r="K58" s="151"/>
      <c r="L58" s="194"/>
      <c r="M58" s="240"/>
      <c r="N58" s="241"/>
      <c r="O58" s="150"/>
      <c r="P58" s="154"/>
      <c r="Q58" s="281" t="s">
        <v>182</v>
      </c>
      <c r="R58" s="282"/>
      <c r="S58" s="279" t="s">
        <v>207</v>
      </c>
      <c r="T58" s="280"/>
      <c r="U58" s="155"/>
      <c r="V58" s="155"/>
      <c r="W58" s="261"/>
      <c r="X58" s="263"/>
      <c r="Y58" s="152"/>
      <c r="Z58" s="270"/>
      <c r="AA58" s="271"/>
      <c r="AB58" s="153"/>
      <c r="AC58" s="91" t="s">
        <v>13</v>
      </c>
      <c r="AD58" s="228"/>
      <c r="AE58" s="90"/>
      <c r="AF58" s="228"/>
      <c r="AG58" s="261"/>
      <c r="AH58" s="263"/>
      <c r="AI58" s="261"/>
      <c r="AJ58" s="263"/>
      <c r="AK58" s="261"/>
      <c r="AL58" s="262"/>
      <c r="AM58" s="263"/>
      <c r="AN58" s="261"/>
      <c r="AO58" s="271"/>
    </row>
    <row r="59" spans="1:41" ht="16.149999999999999" customHeight="1">
      <c r="A59" s="215"/>
      <c r="B59" s="234" t="s">
        <v>192</v>
      </c>
      <c r="C59" s="261" t="s">
        <v>187</v>
      </c>
      <c r="D59" s="262"/>
      <c r="E59" s="262"/>
      <c r="F59" s="262"/>
      <c r="G59" s="262"/>
      <c r="H59" s="237"/>
      <c r="I59" s="264" t="s">
        <v>206</v>
      </c>
      <c r="J59" s="275"/>
      <c r="K59" s="151"/>
      <c r="L59" s="194"/>
      <c r="M59" s="240"/>
      <c r="N59" s="241"/>
      <c r="O59" s="150"/>
      <c r="P59" s="154"/>
      <c r="Q59" s="281" t="s">
        <v>182</v>
      </c>
      <c r="R59" s="282"/>
      <c r="S59" s="279" t="s">
        <v>207</v>
      </c>
      <c r="T59" s="280"/>
      <c r="U59" s="155"/>
      <c r="V59" s="155"/>
      <c r="W59" s="261"/>
      <c r="X59" s="263"/>
      <c r="Y59" s="152"/>
      <c r="Z59" s="270"/>
      <c r="AA59" s="271"/>
      <c r="AB59" s="153"/>
      <c r="AC59" s="91" t="s">
        <v>13</v>
      </c>
      <c r="AD59" s="228"/>
      <c r="AE59" s="90"/>
      <c r="AF59" s="228"/>
      <c r="AG59" s="261"/>
      <c r="AH59" s="263"/>
      <c r="AI59" s="261"/>
      <c r="AJ59" s="263"/>
      <c r="AK59" s="261"/>
      <c r="AL59" s="262"/>
      <c r="AM59" s="263"/>
      <c r="AN59" s="261"/>
      <c r="AO59" s="271"/>
    </row>
    <row r="60" spans="1:41" ht="16.149999999999999" customHeight="1">
      <c r="A60" s="216"/>
      <c r="B60" s="234" t="s">
        <v>193</v>
      </c>
      <c r="C60" s="261" t="s">
        <v>187</v>
      </c>
      <c r="D60" s="262"/>
      <c r="E60" s="262"/>
      <c r="F60" s="262"/>
      <c r="G60" s="262"/>
      <c r="H60" s="237"/>
      <c r="I60" s="264" t="s">
        <v>206</v>
      </c>
      <c r="J60" s="275"/>
      <c r="K60" s="151"/>
      <c r="L60" s="194"/>
      <c r="M60" s="240"/>
      <c r="N60" s="241"/>
      <c r="O60" s="150"/>
      <c r="P60" s="154"/>
      <c r="Q60" s="281" t="s">
        <v>182</v>
      </c>
      <c r="R60" s="282"/>
      <c r="S60" s="279" t="s">
        <v>207</v>
      </c>
      <c r="T60" s="280"/>
      <c r="U60" s="155"/>
      <c r="V60" s="155"/>
      <c r="W60" s="261"/>
      <c r="X60" s="263"/>
      <c r="Y60" s="152"/>
      <c r="Z60" s="270"/>
      <c r="AA60" s="271"/>
      <c r="AB60" s="153"/>
      <c r="AC60" s="91" t="s">
        <v>13</v>
      </c>
      <c r="AD60" s="228"/>
      <c r="AE60" s="90"/>
      <c r="AF60" s="228"/>
      <c r="AG60" s="261"/>
      <c r="AH60" s="263"/>
      <c r="AI60" s="261"/>
      <c r="AJ60" s="263"/>
      <c r="AK60" s="261"/>
      <c r="AL60" s="262"/>
      <c r="AM60" s="263"/>
      <c r="AN60" s="261"/>
      <c r="AO60" s="271"/>
    </row>
    <row r="61" spans="1:41" ht="16.149999999999999" customHeight="1">
      <c r="A61" s="216"/>
      <c r="B61" s="234" t="s">
        <v>196</v>
      </c>
      <c r="C61" s="261" t="s">
        <v>194</v>
      </c>
      <c r="D61" s="262"/>
      <c r="E61" s="262"/>
      <c r="F61" s="262"/>
      <c r="G61" s="262"/>
      <c r="H61" s="237"/>
      <c r="I61" s="264" t="s">
        <v>206</v>
      </c>
      <c r="J61" s="275"/>
      <c r="K61" s="151"/>
      <c r="L61" s="194"/>
      <c r="M61" s="240"/>
      <c r="N61" s="241"/>
      <c r="O61" s="150"/>
      <c r="P61" s="154"/>
      <c r="Q61" s="281" t="s">
        <v>208</v>
      </c>
      <c r="R61" s="282"/>
      <c r="S61" s="279" t="s">
        <v>209</v>
      </c>
      <c r="T61" s="280"/>
      <c r="U61" s="155"/>
      <c r="V61" s="155"/>
      <c r="W61" s="261"/>
      <c r="X61" s="263"/>
      <c r="Y61" s="223"/>
      <c r="Z61" s="270"/>
      <c r="AA61" s="271"/>
      <c r="AB61" s="153"/>
      <c r="AC61" s="91" t="s">
        <v>13</v>
      </c>
      <c r="AD61" s="149"/>
      <c r="AE61" s="90"/>
      <c r="AF61" s="149"/>
      <c r="AG61" s="261"/>
      <c r="AH61" s="263"/>
      <c r="AI61" s="261"/>
      <c r="AJ61" s="263"/>
      <c r="AK61" s="261"/>
      <c r="AL61" s="262"/>
      <c r="AM61" s="263"/>
      <c r="AN61" s="261"/>
      <c r="AO61" s="271"/>
    </row>
    <row r="62" spans="1:41" ht="16.149999999999999" customHeight="1">
      <c r="A62" s="216"/>
      <c r="B62" s="234" t="s">
        <v>197</v>
      </c>
      <c r="C62" s="261" t="s">
        <v>195</v>
      </c>
      <c r="D62" s="262"/>
      <c r="E62" s="262"/>
      <c r="F62" s="262"/>
      <c r="G62" s="262"/>
      <c r="H62" s="237"/>
      <c r="I62" s="264" t="s">
        <v>206</v>
      </c>
      <c r="J62" s="275"/>
      <c r="K62" s="151"/>
      <c r="L62" s="194"/>
      <c r="M62" s="240"/>
      <c r="N62" s="241"/>
      <c r="O62" s="150"/>
      <c r="P62" s="154"/>
      <c r="Q62" s="281" t="s">
        <v>208</v>
      </c>
      <c r="R62" s="282"/>
      <c r="S62" s="279" t="s">
        <v>209</v>
      </c>
      <c r="T62" s="280"/>
      <c r="U62" s="155"/>
      <c r="V62" s="155"/>
      <c r="W62" s="261"/>
      <c r="X62" s="263"/>
      <c r="Y62" s="223"/>
      <c r="Z62" s="270"/>
      <c r="AA62" s="271"/>
      <c r="AB62" s="153"/>
      <c r="AC62" s="91" t="s">
        <v>13</v>
      </c>
      <c r="AD62" s="149"/>
      <c r="AE62" s="90"/>
      <c r="AF62" s="149"/>
      <c r="AG62" s="261"/>
      <c r="AH62" s="263"/>
      <c r="AI62" s="261"/>
      <c r="AJ62" s="263"/>
      <c r="AK62" s="261"/>
      <c r="AL62" s="262"/>
      <c r="AM62" s="263"/>
      <c r="AN62" s="261"/>
      <c r="AO62" s="271"/>
    </row>
    <row r="63" spans="1:41" ht="16.149999999999999" customHeight="1">
      <c r="A63" s="215"/>
      <c r="B63" s="234" t="s">
        <v>198</v>
      </c>
      <c r="C63" s="261" t="s">
        <v>204</v>
      </c>
      <c r="D63" s="262"/>
      <c r="E63" s="262"/>
      <c r="F63" s="262"/>
      <c r="G63" s="262"/>
      <c r="H63" s="237"/>
      <c r="I63" s="264" t="s">
        <v>206</v>
      </c>
      <c r="J63" s="275"/>
      <c r="K63" s="151"/>
      <c r="L63" s="194"/>
      <c r="M63" s="240"/>
      <c r="N63" s="241"/>
      <c r="O63" s="150"/>
      <c r="P63" s="154"/>
      <c r="Q63" s="281" t="s">
        <v>208</v>
      </c>
      <c r="R63" s="282"/>
      <c r="S63" s="279" t="s">
        <v>209</v>
      </c>
      <c r="T63" s="280"/>
      <c r="U63" s="155"/>
      <c r="V63" s="155"/>
      <c r="W63" s="261"/>
      <c r="X63" s="263"/>
      <c r="Y63" s="223"/>
      <c r="Z63" s="270"/>
      <c r="AA63" s="271"/>
      <c r="AB63" s="153"/>
      <c r="AC63" s="91" t="s">
        <v>13</v>
      </c>
      <c r="AD63" s="149"/>
      <c r="AE63" s="90"/>
      <c r="AF63" s="149"/>
      <c r="AG63" s="261"/>
      <c r="AH63" s="263"/>
      <c r="AI63" s="261"/>
      <c r="AJ63" s="263"/>
      <c r="AK63" s="261"/>
      <c r="AL63" s="262"/>
      <c r="AM63" s="263"/>
      <c r="AN63" s="261"/>
      <c r="AO63" s="271"/>
    </row>
    <row r="64" spans="1:41" ht="16.149999999999999" customHeight="1">
      <c r="A64" s="216"/>
      <c r="B64" s="234" t="s">
        <v>199</v>
      </c>
      <c r="C64" s="261" t="s">
        <v>204</v>
      </c>
      <c r="D64" s="262"/>
      <c r="E64" s="262"/>
      <c r="F64" s="262"/>
      <c r="G64" s="262"/>
      <c r="H64" s="237"/>
      <c r="I64" s="264" t="s">
        <v>206</v>
      </c>
      <c r="J64" s="275"/>
      <c r="K64" s="151"/>
      <c r="L64" s="194"/>
      <c r="M64" s="240"/>
      <c r="N64" s="241"/>
      <c r="O64" s="150"/>
      <c r="P64" s="154"/>
      <c r="Q64" s="281" t="s">
        <v>208</v>
      </c>
      <c r="R64" s="282"/>
      <c r="S64" s="279" t="s">
        <v>209</v>
      </c>
      <c r="T64" s="280"/>
      <c r="U64" s="155"/>
      <c r="V64" s="155"/>
      <c r="W64" s="261"/>
      <c r="X64" s="263"/>
      <c r="Y64" s="223"/>
      <c r="Z64" s="270"/>
      <c r="AA64" s="271"/>
      <c r="AB64" s="153"/>
      <c r="AC64" s="91" t="s">
        <v>13</v>
      </c>
      <c r="AD64" s="149"/>
      <c r="AE64" s="90"/>
      <c r="AF64" s="149"/>
      <c r="AG64" s="261"/>
      <c r="AH64" s="263"/>
      <c r="AI64" s="261"/>
      <c r="AJ64" s="263"/>
      <c r="AK64" s="261"/>
      <c r="AL64" s="262"/>
      <c r="AM64" s="263"/>
      <c r="AN64" s="261"/>
      <c r="AO64" s="271"/>
    </row>
    <row r="65" spans="1:41" ht="16.149999999999999" customHeight="1">
      <c r="A65" s="216"/>
      <c r="B65" s="234" t="s">
        <v>200</v>
      </c>
      <c r="C65" s="261" t="s">
        <v>204</v>
      </c>
      <c r="D65" s="262"/>
      <c r="E65" s="262"/>
      <c r="F65" s="262"/>
      <c r="G65" s="262"/>
      <c r="H65" s="237"/>
      <c r="I65" s="264" t="s">
        <v>206</v>
      </c>
      <c r="J65" s="275"/>
      <c r="K65" s="151"/>
      <c r="L65" s="194"/>
      <c r="M65" s="240"/>
      <c r="N65" s="241"/>
      <c r="O65" s="150"/>
      <c r="P65" s="154"/>
      <c r="Q65" s="281" t="s">
        <v>208</v>
      </c>
      <c r="R65" s="282"/>
      <c r="S65" s="279" t="s">
        <v>209</v>
      </c>
      <c r="T65" s="280"/>
      <c r="U65" s="155"/>
      <c r="V65" s="155"/>
      <c r="W65" s="261"/>
      <c r="X65" s="263"/>
      <c r="Y65" s="223"/>
      <c r="Z65" s="270"/>
      <c r="AA65" s="271"/>
      <c r="AB65" s="153"/>
      <c r="AC65" s="91" t="s">
        <v>13</v>
      </c>
      <c r="AD65" s="149"/>
      <c r="AE65" s="90"/>
      <c r="AF65" s="149"/>
      <c r="AG65" s="261"/>
      <c r="AH65" s="263"/>
      <c r="AI65" s="261"/>
      <c r="AJ65" s="263"/>
      <c r="AK65" s="261"/>
      <c r="AL65" s="262"/>
      <c r="AM65" s="263"/>
      <c r="AN65" s="261"/>
      <c r="AO65" s="271"/>
    </row>
    <row r="66" spans="1:41" ht="16.149999999999999" customHeight="1">
      <c r="A66" s="216"/>
      <c r="B66" s="234" t="s">
        <v>201</v>
      </c>
      <c r="C66" s="261" t="s">
        <v>205</v>
      </c>
      <c r="D66" s="262"/>
      <c r="E66" s="262"/>
      <c r="F66" s="262"/>
      <c r="G66" s="262"/>
      <c r="H66" s="237"/>
      <c r="I66" s="264" t="s">
        <v>206</v>
      </c>
      <c r="J66" s="275"/>
      <c r="K66" s="151"/>
      <c r="L66" s="194"/>
      <c r="M66" s="240"/>
      <c r="N66" s="241"/>
      <c r="O66" s="150"/>
      <c r="P66" s="154"/>
      <c r="Q66" s="281" t="s">
        <v>208</v>
      </c>
      <c r="R66" s="282"/>
      <c r="S66" s="279" t="s">
        <v>209</v>
      </c>
      <c r="T66" s="280"/>
      <c r="U66" s="155"/>
      <c r="V66" s="155"/>
      <c r="W66" s="261"/>
      <c r="X66" s="263"/>
      <c r="Y66" s="223"/>
      <c r="Z66" s="270"/>
      <c r="AA66" s="271"/>
      <c r="AB66" s="153"/>
      <c r="AC66" s="91" t="s">
        <v>13</v>
      </c>
      <c r="AD66" s="149"/>
      <c r="AE66" s="90"/>
      <c r="AF66" s="149"/>
      <c r="AG66" s="261"/>
      <c r="AH66" s="263"/>
      <c r="AI66" s="261"/>
      <c r="AJ66" s="263"/>
      <c r="AK66" s="261"/>
      <c r="AL66" s="262"/>
      <c r="AM66" s="263"/>
      <c r="AN66" s="261"/>
      <c r="AO66" s="271"/>
    </row>
    <row r="67" spans="1:41" ht="16.149999999999999" customHeight="1">
      <c r="A67" s="216"/>
      <c r="B67" s="234" t="s">
        <v>202</v>
      </c>
      <c r="C67" s="261" t="s">
        <v>205</v>
      </c>
      <c r="D67" s="262"/>
      <c r="E67" s="262"/>
      <c r="F67" s="262"/>
      <c r="G67" s="262"/>
      <c r="H67" s="237"/>
      <c r="I67" s="264" t="s">
        <v>206</v>
      </c>
      <c r="J67" s="275"/>
      <c r="K67" s="151"/>
      <c r="L67" s="194"/>
      <c r="M67" s="240"/>
      <c r="N67" s="241"/>
      <c r="O67" s="150"/>
      <c r="P67" s="154"/>
      <c r="Q67" s="281" t="s">
        <v>208</v>
      </c>
      <c r="R67" s="282"/>
      <c r="S67" s="279" t="s">
        <v>209</v>
      </c>
      <c r="T67" s="280"/>
      <c r="U67" s="155"/>
      <c r="V67" s="155"/>
      <c r="W67" s="261"/>
      <c r="X67" s="263"/>
      <c r="Y67" s="223"/>
      <c r="Z67" s="270"/>
      <c r="AA67" s="271"/>
      <c r="AB67" s="153"/>
      <c r="AC67" s="91" t="s">
        <v>13</v>
      </c>
      <c r="AD67" s="149"/>
      <c r="AE67" s="90"/>
      <c r="AF67" s="149"/>
      <c r="AG67" s="261"/>
      <c r="AH67" s="263"/>
      <c r="AI67" s="261"/>
      <c r="AJ67" s="263"/>
      <c r="AK67" s="261"/>
      <c r="AL67" s="262"/>
      <c r="AM67" s="263"/>
      <c r="AN67" s="261"/>
      <c r="AO67" s="271"/>
    </row>
    <row r="68" spans="1:41" ht="16.149999999999999" customHeight="1">
      <c r="A68" s="217"/>
      <c r="B68" s="234" t="s">
        <v>203</v>
      </c>
      <c r="C68" s="261" t="s">
        <v>205</v>
      </c>
      <c r="D68" s="262"/>
      <c r="E68" s="262"/>
      <c r="F68" s="262"/>
      <c r="G68" s="262"/>
      <c r="H68" s="237"/>
      <c r="I68" s="264" t="s">
        <v>206</v>
      </c>
      <c r="J68" s="275"/>
      <c r="K68" s="151"/>
      <c r="L68" s="194"/>
      <c r="M68" s="240"/>
      <c r="N68" s="241"/>
      <c r="O68" s="150"/>
      <c r="P68" s="154"/>
      <c r="Q68" s="281" t="s">
        <v>208</v>
      </c>
      <c r="R68" s="282"/>
      <c r="S68" s="279" t="s">
        <v>209</v>
      </c>
      <c r="T68" s="280"/>
      <c r="U68" s="155"/>
      <c r="V68" s="155"/>
      <c r="W68" s="261"/>
      <c r="X68" s="263"/>
      <c r="Y68" s="223"/>
      <c r="Z68" s="270"/>
      <c r="AA68" s="271"/>
      <c r="AB68" s="153"/>
      <c r="AC68" s="91" t="s">
        <v>13</v>
      </c>
      <c r="AD68" s="149"/>
      <c r="AE68" s="90"/>
      <c r="AF68" s="149"/>
      <c r="AG68" s="261"/>
      <c r="AH68" s="263"/>
      <c r="AI68" s="261"/>
      <c r="AJ68" s="263"/>
      <c r="AK68" s="261"/>
      <c r="AL68" s="262"/>
      <c r="AM68" s="263"/>
      <c r="AN68" s="261"/>
      <c r="AO68" s="271"/>
    </row>
    <row r="69" spans="1:41" ht="16.149999999999999" customHeight="1">
      <c r="A69" s="216"/>
      <c r="B69" s="227"/>
      <c r="C69" s="261"/>
      <c r="D69" s="262"/>
      <c r="E69" s="262"/>
      <c r="F69" s="262"/>
      <c r="G69" s="262"/>
      <c r="H69" s="237"/>
      <c r="I69" s="286"/>
      <c r="J69" s="287"/>
      <c r="K69" s="151"/>
      <c r="L69" s="194"/>
      <c r="M69" s="240"/>
      <c r="N69" s="241"/>
      <c r="O69" s="150"/>
      <c r="P69" s="154"/>
      <c r="Q69" s="281"/>
      <c r="R69" s="282"/>
      <c r="S69" s="279"/>
      <c r="T69" s="280"/>
      <c r="U69" s="156"/>
      <c r="V69" s="155"/>
      <c r="W69" s="261"/>
      <c r="X69" s="263"/>
      <c r="Y69" s="223"/>
      <c r="Z69" s="270"/>
      <c r="AA69" s="271"/>
      <c r="AB69" s="153"/>
      <c r="AC69" s="91" t="s">
        <v>13</v>
      </c>
      <c r="AD69" s="149"/>
      <c r="AE69" s="90"/>
      <c r="AF69" s="149"/>
      <c r="AG69" s="261"/>
      <c r="AH69" s="263"/>
      <c r="AI69" s="261"/>
      <c r="AJ69" s="263"/>
      <c r="AK69" s="261"/>
      <c r="AL69" s="262"/>
      <c r="AM69" s="263"/>
      <c r="AN69" s="261"/>
      <c r="AO69" s="271"/>
    </row>
    <row r="70" spans="1:41" ht="16.149999999999999" customHeight="1">
      <c r="A70" s="216"/>
      <c r="B70" s="227"/>
      <c r="C70" s="261"/>
      <c r="D70" s="262"/>
      <c r="E70" s="262"/>
      <c r="F70" s="262"/>
      <c r="G70" s="262"/>
      <c r="H70" s="237"/>
      <c r="I70" s="286"/>
      <c r="J70" s="287"/>
      <c r="K70" s="151"/>
      <c r="L70" s="194"/>
      <c r="M70" s="240"/>
      <c r="N70" s="241"/>
      <c r="O70" s="150"/>
      <c r="P70" s="154"/>
      <c r="Q70" s="281"/>
      <c r="R70" s="282"/>
      <c r="S70" s="279"/>
      <c r="T70" s="280"/>
      <c r="U70" s="156"/>
      <c r="V70" s="155"/>
      <c r="W70" s="261"/>
      <c r="X70" s="263"/>
      <c r="Y70" s="223"/>
      <c r="Z70" s="270"/>
      <c r="AA70" s="271"/>
      <c r="AB70" s="153"/>
      <c r="AC70" s="91" t="s">
        <v>13</v>
      </c>
      <c r="AD70" s="149"/>
      <c r="AE70" s="90"/>
      <c r="AF70" s="149"/>
      <c r="AG70" s="261"/>
      <c r="AH70" s="263"/>
      <c r="AI70" s="261"/>
      <c r="AJ70" s="263"/>
      <c r="AK70" s="261"/>
      <c r="AL70" s="262"/>
      <c r="AM70" s="263"/>
      <c r="AN70" s="261"/>
      <c r="AO70" s="271"/>
    </row>
    <row r="71" spans="1:41" ht="11.25" customHeight="1">
      <c r="A71" s="143"/>
      <c r="B71" s="92"/>
      <c r="C71" s="92"/>
      <c r="D71" s="92"/>
      <c r="E71" s="92"/>
      <c r="F71" s="92"/>
      <c r="G71" s="92"/>
      <c r="H71" s="92"/>
      <c r="I71" s="92"/>
      <c r="J71" s="92"/>
      <c r="K71" s="26"/>
      <c r="L71" s="59"/>
      <c r="M71" s="59"/>
      <c r="N71" s="59"/>
      <c r="O71" s="93"/>
      <c r="P71" s="93"/>
      <c r="Q71" s="59"/>
      <c r="R71" s="59"/>
      <c r="S71" s="59"/>
      <c r="T71" s="59"/>
      <c r="U71" s="61"/>
      <c r="V71" s="92" t="s">
        <v>140</v>
      </c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O71" s="138"/>
    </row>
    <row r="72" spans="1:41" ht="18" customHeight="1">
      <c r="A72" s="144" t="s">
        <v>118</v>
      </c>
      <c r="B72" s="205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9"/>
      <c r="P72" s="9"/>
      <c r="Q72" s="8"/>
      <c r="R72" s="8"/>
      <c r="S72" s="8"/>
      <c r="T72" s="8"/>
      <c r="U72" s="10"/>
      <c r="V72" s="94" t="s">
        <v>119</v>
      </c>
      <c r="W72" s="8"/>
      <c r="X72" s="8"/>
      <c r="Y72" s="8"/>
      <c r="Z72" s="8"/>
      <c r="AA72" s="8"/>
      <c r="AB72" s="189" t="s">
        <v>163</v>
      </c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110"/>
    </row>
    <row r="73" spans="1:41" ht="7.15" customHeight="1">
      <c r="A73" s="111"/>
      <c r="U73" s="13"/>
      <c r="AO73" s="79"/>
    </row>
    <row r="74" spans="1:41">
      <c r="A74" s="111"/>
      <c r="E74" s="268" t="s">
        <v>120</v>
      </c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7" t="s">
        <v>13</v>
      </c>
      <c r="U74" s="13"/>
      <c r="W74" s="268" t="s">
        <v>121</v>
      </c>
      <c r="X74" s="268"/>
      <c r="Y74" s="268"/>
      <c r="Z74" s="268"/>
      <c r="AA74" s="268"/>
      <c r="AB74" s="268"/>
      <c r="AC74" s="268"/>
      <c r="AD74" s="268"/>
      <c r="AE74" s="268"/>
      <c r="AF74" s="268"/>
      <c r="AG74" s="268"/>
      <c r="AH74" s="268"/>
      <c r="AI74" s="268"/>
      <c r="AJ74" s="268"/>
      <c r="AK74" s="268"/>
      <c r="AL74" s="95"/>
      <c r="AM74" s="7" t="str">
        <f>M33</f>
        <v>þ</v>
      </c>
      <c r="AN74" s="95"/>
      <c r="AO74" s="79"/>
    </row>
    <row r="75" spans="1:41" ht="7.15" customHeight="1">
      <c r="A75" s="111"/>
      <c r="S75" s="29"/>
      <c r="U75" s="13"/>
      <c r="AO75" s="145"/>
    </row>
    <row r="76" spans="1:41">
      <c r="A76" s="111"/>
      <c r="E76" s="268" t="s">
        <v>122</v>
      </c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7" t="s">
        <v>13</v>
      </c>
      <c r="U76" s="96"/>
      <c r="W76" s="268" t="s">
        <v>141</v>
      </c>
      <c r="X76" s="268"/>
      <c r="Y76" s="268"/>
      <c r="Z76" s="268"/>
      <c r="AA76" s="268"/>
      <c r="AB76" s="268"/>
      <c r="AC76" s="268"/>
      <c r="AD76" s="268"/>
      <c r="AE76" s="268"/>
      <c r="AF76" s="268"/>
      <c r="AG76" s="268"/>
      <c r="AH76" s="268"/>
      <c r="AI76" s="268"/>
      <c r="AJ76" s="268"/>
      <c r="AK76" s="268"/>
      <c r="AL76" s="95"/>
      <c r="AM76" s="7" t="str">
        <f>M34</f>
        <v>o</v>
      </c>
      <c r="AN76" s="95"/>
      <c r="AO76" s="79"/>
    </row>
    <row r="77" spans="1:41" ht="7.15" customHeight="1">
      <c r="A77" s="111"/>
      <c r="U77" s="13"/>
      <c r="AO77" s="79"/>
    </row>
    <row r="78" spans="1:41">
      <c r="A78" s="111" t="s">
        <v>6</v>
      </c>
      <c r="C78" s="288" t="s">
        <v>123</v>
      </c>
      <c r="D78" s="288"/>
      <c r="E78" s="288"/>
      <c r="F78" s="288"/>
      <c r="G78" t="s">
        <v>124</v>
      </c>
      <c r="I78" s="289"/>
      <c r="J78" s="289"/>
      <c r="K78" s="289"/>
      <c r="L78" t="s">
        <v>125</v>
      </c>
      <c r="O78" s="97"/>
      <c r="P78" s="97"/>
      <c r="Q78" s="98"/>
      <c r="R78" s="98"/>
      <c r="S78" s="98"/>
      <c r="T78" s="98"/>
      <c r="U78" s="13"/>
      <c r="V78" t="s">
        <v>6</v>
      </c>
      <c r="X78" s="99" t="s">
        <v>123</v>
      </c>
      <c r="Y78" s="100"/>
      <c r="Z78" t="s">
        <v>124</v>
      </c>
      <c r="AA78" s="100"/>
      <c r="AB78" s="290">
        <f>DATE(MID(V3, 8, 4),MID(V3, 6, 2),MID(V3, 4, 2))</f>
        <v>45971</v>
      </c>
      <c r="AC78" s="290"/>
      <c r="AD78" s="101"/>
      <c r="AE78" s="101"/>
      <c r="AF78" t="s">
        <v>125</v>
      </c>
      <c r="AG78" s="101"/>
      <c r="AI78" s="98"/>
      <c r="AJ78" s="98"/>
      <c r="AK78" s="98"/>
      <c r="AL78" s="98"/>
      <c r="AM78" s="98"/>
      <c r="AN78" s="98"/>
      <c r="AO78" s="79"/>
    </row>
    <row r="79" spans="1:41" ht="22.5" customHeight="1">
      <c r="A79" s="146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7"/>
      <c r="P79" s="97"/>
      <c r="Q79" s="98"/>
      <c r="R79" s="98"/>
      <c r="S79" s="98"/>
      <c r="T79" s="98"/>
      <c r="U79" s="147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148"/>
    </row>
    <row r="80" spans="1:41" ht="19.5" customHeight="1">
      <c r="A80" s="214" t="s">
        <v>162</v>
      </c>
      <c r="O80" s="58"/>
      <c r="Y80" s="291" t="s">
        <v>153</v>
      </c>
      <c r="Z80" s="291"/>
      <c r="AA80" s="291"/>
      <c r="AB80" s="291"/>
      <c r="AC80" s="291"/>
      <c r="AD80" s="291"/>
      <c r="AE80" s="291"/>
      <c r="AF80" s="291"/>
      <c r="AG80" s="291"/>
      <c r="AH80" s="291"/>
      <c r="AI80" s="291"/>
      <c r="AJ80" s="291"/>
      <c r="AK80" s="291"/>
      <c r="AL80" s="291"/>
      <c r="AM80" s="291"/>
      <c r="AN80" s="291"/>
      <c r="AO80" s="291"/>
    </row>
    <row r="81" spans="1:41" ht="12.75" customHeight="1">
      <c r="A81" s="131"/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3"/>
      <c r="P81" s="133"/>
      <c r="Q81" s="132"/>
      <c r="R81" s="132"/>
      <c r="S81" s="132"/>
      <c r="T81" s="132"/>
      <c r="U81" s="132"/>
      <c r="V81" s="132"/>
      <c r="W81" s="132"/>
      <c r="X81" s="132"/>
      <c r="Y81" s="134"/>
      <c r="Z81" s="132"/>
      <c r="AA81" s="132"/>
      <c r="AB81" s="132"/>
      <c r="AC81" s="132"/>
      <c r="AD81" s="132"/>
      <c r="AE81" s="132"/>
      <c r="AF81" s="132"/>
      <c r="AG81" s="132"/>
      <c r="AH81" s="132"/>
      <c r="AI81" s="132"/>
      <c r="AJ81" s="132"/>
      <c r="AK81" s="132"/>
      <c r="AL81" s="132"/>
      <c r="AM81" s="132"/>
      <c r="AN81" s="132"/>
      <c r="AO81" s="135"/>
    </row>
    <row r="82" spans="1:41" ht="18" customHeight="1">
      <c r="A82" s="136" t="s">
        <v>81</v>
      </c>
      <c r="B82" s="201"/>
      <c r="H82" s="284" t="str">
        <f>V3</f>
        <v>EDB101120250925</v>
      </c>
      <c r="I82" s="284"/>
      <c r="J82" s="284"/>
      <c r="K82" s="284"/>
      <c r="L82" s="284"/>
      <c r="M82" s="284"/>
      <c r="N82" s="284"/>
      <c r="O82" s="284"/>
      <c r="P82" s="284"/>
      <c r="Q82" s="284"/>
      <c r="R82" s="284"/>
      <c r="S82" s="12"/>
      <c r="T82" s="12"/>
      <c r="U82" s="12"/>
      <c r="AG82" s="285" t="s">
        <v>82</v>
      </c>
      <c r="AH82" s="285"/>
      <c r="AI82" s="2">
        <f>AH3+2</f>
        <v>3</v>
      </c>
      <c r="AJ82" s="2" t="s">
        <v>1</v>
      </c>
      <c r="AK82" s="2">
        <f>AJ3</f>
        <v>3</v>
      </c>
      <c r="AO82" s="79"/>
    </row>
    <row r="83" spans="1:41" ht="16.149999999999999" customHeight="1">
      <c r="A83" s="112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5"/>
      <c r="P83" s="15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37"/>
    </row>
    <row r="84" spans="1:41" ht="16.149999999999999" customHeight="1">
      <c r="A84" s="193" t="s">
        <v>54</v>
      </c>
      <c r="B84" s="202"/>
      <c r="C84" s="59"/>
      <c r="D84" s="59"/>
      <c r="E84" s="59"/>
      <c r="F84" s="59" t="s">
        <v>83</v>
      </c>
      <c r="G84" s="59"/>
      <c r="H84" s="59"/>
      <c r="I84" s="59"/>
      <c r="J84" s="59"/>
      <c r="K84" s="337" t="str">
        <f>D10</f>
        <v>LV-UM-Mb-55</v>
      </c>
      <c r="L84" s="337"/>
      <c r="M84" s="337"/>
      <c r="N84" s="337"/>
      <c r="O84" s="337"/>
      <c r="P84" s="337"/>
      <c r="Q84" s="337"/>
      <c r="R84" s="337"/>
      <c r="S84" s="337"/>
      <c r="T84" s="337"/>
      <c r="U84" s="59" t="s">
        <v>84</v>
      </c>
      <c r="V84" s="338" t="s">
        <v>85</v>
      </c>
      <c r="W84" s="339"/>
      <c r="X84" s="339"/>
      <c r="Y84" s="337" t="str">
        <f>Y43</f>
        <v>KV-Ma47/F6; ENKV-La37/F12</v>
      </c>
      <c r="Z84" s="337"/>
      <c r="AA84" s="337"/>
      <c r="AB84" s="337"/>
      <c r="AC84" s="337"/>
      <c r="AD84" s="337"/>
      <c r="AE84" s="337"/>
      <c r="AF84" s="337"/>
      <c r="AG84" s="337"/>
      <c r="AH84" s="60"/>
      <c r="AI84" s="60"/>
      <c r="AJ84" s="59"/>
      <c r="AK84" s="59"/>
      <c r="AL84" s="59"/>
      <c r="AM84" s="59"/>
      <c r="AN84" s="59"/>
      <c r="AO84" s="138"/>
    </row>
    <row r="85" spans="1:41" ht="16.149999999999999" customHeight="1">
      <c r="A85" s="139"/>
      <c r="B85" s="203"/>
      <c r="C85" s="309" t="s">
        <v>86</v>
      </c>
      <c r="D85" s="309"/>
      <c r="E85" s="309"/>
      <c r="F85" s="309"/>
      <c r="G85" s="62"/>
      <c r="H85" s="63"/>
      <c r="I85" s="310" t="s">
        <v>87</v>
      </c>
      <c r="J85" s="310"/>
      <c r="K85" s="310"/>
      <c r="L85" s="310"/>
      <c r="M85" s="310"/>
      <c r="N85" s="310"/>
      <c r="O85" s="64" t="s">
        <v>88</v>
      </c>
      <c r="P85" s="65" t="s">
        <v>127</v>
      </c>
      <c r="Q85" s="309" t="s">
        <v>89</v>
      </c>
      <c r="R85" s="309"/>
      <c r="S85" s="309"/>
      <c r="T85" s="309"/>
      <c r="U85" s="309"/>
      <c r="V85" s="311"/>
      <c r="W85" s="311"/>
      <c r="X85" s="312"/>
      <c r="Y85" s="313" t="s">
        <v>128</v>
      </c>
      <c r="Z85" s="314"/>
      <c r="AA85" s="315"/>
      <c r="AB85" s="320" t="s">
        <v>90</v>
      </c>
      <c r="AC85" s="321" t="s">
        <v>91</v>
      </c>
      <c r="AD85" s="323" t="s">
        <v>92</v>
      </c>
      <c r="AE85" s="323"/>
      <c r="AF85" s="323"/>
      <c r="AG85" s="323"/>
      <c r="AH85" s="323"/>
      <c r="AI85" s="323"/>
      <c r="AJ85" s="323"/>
      <c r="AK85" s="323"/>
      <c r="AL85" s="323"/>
      <c r="AM85" s="323"/>
      <c r="AN85" s="305" t="s">
        <v>129</v>
      </c>
      <c r="AO85" s="306"/>
    </row>
    <row r="86" spans="1:41" ht="16.149999999999999" customHeight="1">
      <c r="A86" s="140" t="s">
        <v>155</v>
      </c>
      <c r="B86" s="196" t="s">
        <v>159</v>
      </c>
      <c r="C86" s="308" t="s">
        <v>158</v>
      </c>
      <c r="D86" s="308"/>
      <c r="E86" s="308"/>
      <c r="F86" s="308"/>
      <c r="G86" s="308"/>
      <c r="H86" s="308"/>
      <c r="I86" s="296" t="s">
        <v>93</v>
      </c>
      <c r="J86" s="296"/>
      <c r="K86" s="318" t="s">
        <v>94</v>
      </c>
      <c r="L86" s="319"/>
      <c r="M86" s="319"/>
      <c r="N86" s="319"/>
      <c r="O86" s="66" t="s">
        <v>95</v>
      </c>
      <c r="P86" s="67" t="s">
        <v>96</v>
      </c>
      <c r="Q86" s="319" t="s">
        <v>97</v>
      </c>
      <c r="R86" s="308"/>
      <c r="S86" s="296" t="s">
        <v>130</v>
      </c>
      <c r="T86" s="296"/>
      <c r="U86" s="68" t="s">
        <v>131</v>
      </c>
      <c r="V86" s="69" t="s">
        <v>132</v>
      </c>
      <c r="W86" s="308" t="s">
        <v>143</v>
      </c>
      <c r="X86" s="308"/>
      <c r="Y86" s="70" t="s">
        <v>13</v>
      </c>
      <c r="Z86" s="316" t="s">
        <v>13</v>
      </c>
      <c r="AA86" s="317"/>
      <c r="AB86" s="320"/>
      <c r="AC86" s="321"/>
      <c r="AD86" s="71" t="s">
        <v>98</v>
      </c>
      <c r="AE86" s="174" t="s">
        <v>130</v>
      </c>
      <c r="AF86" s="174" t="s">
        <v>133</v>
      </c>
      <c r="AG86" s="296" t="s">
        <v>134</v>
      </c>
      <c r="AH86" s="296"/>
      <c r="AI86" s="307" t="s">
        <v>99</v>
      </c>
      <c r="AJ86" s="307"/>
      <c r="AK86" s="308" t="s">
        <v>135</v>
      </c>
      <c r="AL86" s="308"/>
      <c r="AM86" s="308"/>
      <c r="AN86" s="305"/>
      <c r="AO86" s="306"/>
    </row>
    <row r="87" spans="1:41" ht="16.149999999999999" customHeight="1">
      <c r="A87" s="141"/>
      <c r="B87" s="210"/>
      <c r="C87" s="72"/>
      <c r="D87" s="72"/>
      <c r="E87" s="72"/>
      <c r="F87" s="72"/>
      <c r="G87" s="72"/>
      <c r="H87" s="73"/>
      <c r="I87" s="48"/>
      <c r="J87" s="49"/>
      <c r="K87" s="319" t="s">
        <v>100</v>
      </c>
      <c r="L87" s="319"/>
      <c r="M87" s="319" t="s">
        <v>101</v>
      </c>
      <c r="N87" s="324"/>
      <c r="O87" s="74"/>
      <c r="P87" s="75"/>
      <c r="Q87" s="325"/>
      <c r="R87" s="308"/>
      <c r="S87" s="6"/>
      <c r="T87" s="6"/>
      <c r="U87" s="76"/>
      <c r="V87" s="77"/>
      <c r="W87" s="326"/>
      <c r="X87" s="327"/>
      <c r="Y87" s="78" t="s">
        <v>103</v>
      </c>
      <c r="Z87" s="328" t="s">
        <v>104</v>
      </c>
      <c r="AA87" s="329"/>
      <c r="AB87" s="320"/>
      <c r="AC87" s="321"/>
      <c r="AD87" s="81" t="s">
        <v>97</v>
      </c>
      <c r="AE87" s="175" t="s">
        <v>105</v>
      </c>
      <c r="AF87" s="6"/>
      <c r="AG87" s="330" t="s">
        <v>105</v>
      </c>
      <c r="AH87" s="330"/>
      <c r="AI87" s="296" t="s">
        <v>106</v>
      </c>
      <c r="AJ87" s="296"/>
      <c r="AK87" s="6"/>
      <c r="AL87" s="6"/>
      <c r="AM87" s="6"/>
      <c r="AN87" s="305"/>
      <c r="AO87" s="306"/>
    </row>
    <row r="88" spans="1:41" ht="16.149999999999999" customHeight="1">
      <c r="A88" s="141"/>
      <c r="B88" s="210"/>
      <c r="C88" s="72"/>
      <c r="D88" s="72"/>
      <c r="E88" s="72"/>
      <c r="F88" s="72"/>
      <c r="G88" s="212"/>
      <c r="H88" s="73"/>
      <c r="J88" s="79"/>
      <c r="K88" s="319"/>
      <c r="L88" s="319"/>
      <c r="M88" s="319"/>
      <c r="N88" s="324"/>
      <c r="O88" s="74"/>
      <c r="P88" s="75"/>
      <c r="Q88" s="325" t="s">
        <v>102</v>
      </c>
      <c r="R88" s="308"/>
      <c r="S88" s="331" t="s">
        <v>108</v>
      </c>
      <c r="T88" s="327"/>
      <c r="U88" s="80" t="s">
        <v>109</v>
      </c>
      <c r="V88" s="81" t="s">
        <v>110</v>
      </c>
      <c r="W88" s="332" t="s">
        <v>109</v>
      </c>
      <c r="X88" s="333"/>
      <c r="Y88" s="82" t="s">
        <v>111</v>
      </c>
      <c r="Z88" s="334" t="s">
        <v>111</v>
      </c>
      <c r="AA88" s="335"/>
      <c r="AB88" s="83" t="s">
        <v>136</v>
      </c>
      <c r="AC88" s="321"/>
      <c r="AD88" s="176" t="s">
        <v>108</v>
      </c>
      <c r="AE88" s="84"/>
      <c r="AF88" s="176" t="s">
        <v>105</v>
      </c>
      <c r="AG88" s="336" t="s">
        <v>112</v>
      </c>
      <c r="AH88" s="336"/>
      <c r="AI88" s="296" t="s">
        <v>137</v>
      </c>
      <c r="AJ88" s="296"/>
      <c r="AK88" s="308" t="s">
        <v>138</v>
      </c>
      <c r="AL88" s="308"/>
      <c r="AM88" s="308"/>
      <c r="AN88" s="305" t="s">
        <v>113</v>
      </c>
      <c r="AO88" s="306"/>
    </row>
    <row r="89" spans="1:41" ht="16.149999999999999" customHeight="1">
      <c r="A89" s="142"/>
      <c r="B89" s="211"/>
      <c r="G89" s="137"/>
      <c r="H89" s="13"/>
      <c r="J89" s="79"/>
      <c r="M89" s="300" t="s">
        <v>114</v>
      </c>
      <c r="N89" s="300"/>
      <c r="O89" s="86"/>
      <c r="P89" s="87"/>
      <c r="Q89" s="266" t="s">
        <v>107</v>
      </c>
      <c r="R89" s="267"/>
      <c r="S89" s="11"/>
      <c r="T89" s="13"/>
      <c r="U89" s="85"/>
      <c r="V89" s="85"/>
      <c r="X89" s="13"/>
      <c r="Y89" s="88"/>
      <c r="AA89" s="79"/>
      <c r="AB89" s="89" t="s">
        <v>139</v>
      </c>
      <c r="AC89" s="322"/>
      <c r="AD89" s="13"/>
      <c r="AE89" s="85"/>
      <c r="AF89" s="85"/>
      <c r="AG89" s="11"/>
      <c r="AH89" s="13"/>
      <c r="AI89" s="301" t="s">
        <v>115</v>
      </c>
      <c r="AJ89" s="302"/>
      <c r="AK89" s="53"/>
      <c r="AL89" s="53" t="s">
        <v>116</v>
      </c>
      <c r="AM89" s="49"/>
      <c r="AN89" s="303" t="s">
        <v>117</v>
      </c>
      <c r="AO89" s="304"/>
    </row>
    <row r="90" spans="1:41" ht="16.149999999999999" customHeight="1">
      <c r="A90" s="216"/>
      <c r="B90" s="198" t="s">
        <v>211</v>
      </c>
      <c r="C90" s="261" t="s">
        <v>229</v>
      </c>
      <c r="D90" s="262"/>
      <c r="E90" s="262"/>
      <c r="F90" s="262"/>
      <c r="G90" s="262"/>
      <c r="H90" s="263"/>
      <c r="I90" s="264" t="s">
        <v>180</v>
      </c>
      <c r="J90" s="275"/>
      <c r="K90" s="151">
        <v>5</v>
      </c>
      <c r="L90" s="194" t="s">
        <v>181</v>
      </c>
      <c r="M90" s="240">
        <v>2.5</v>
      </c>
      <c r="N90" s="241"/>
      <c r="O90" s="150">
        <v>229</v>
      </c>
      <c r="P90" s="154">
        <v>50</v>
      </c>
      <c r="Q90" s="281" t="s">
        <v>219</v>
      </c>
      <c r="R90" s="282"/>
      <c r="S90" s="279" t="s">
        <v>220</v>
      </c>
      <c r="T90" s="280"/>
      <c r="U90" s="155">
        <v>0.57999999999999996</v>
      </c>
      <c r="V90" s="155">
        <v>0.61</v>
      </c>
      <c r="W90" s="261">
        <v>0.42299999999999999</v>
      </c>
      <c r="X90" s="263"/>
      <c r="Y90" s="152"/>
      <c r="Z90" s="270" t="s">
        <v>221</v>
      </c>
      <c r="AA90" s="271"/>
      <c r="AB90" s="153"/>
      <c r="AC90" s="91" t="s">
        <v>13</v>
      </c>
      <c r="AD90" s="149"/>
      <c r="AE90" s="90"/>
      <c r="AF90" s="149"/>
      <c r="AG90" s="261"/>
      <c r="AH90" s="263"/>
      <c r="AI90" s="261"/>
      <c r="AJ90" s="263"/>
      <c r="AK90" s="261"/>
      <c r="AL90" s="262"/>
      <c r="AM90" s="263"/>
      <c r="AN90" s="261"/>
      <c r="AO90" s="271"/>
    </row>
    <row r="91" spans="1:41" ht="16.149999999999999" customHeight="1">
      <c r="A91" s="216"/>
      <c r="B91" s="234" t="s">
        <v>212</v>
      </c>
      <c r="C91" s="261" t="s">
        <v>229</v>
      </c>
      <c r="D91" s="262"/>
      <c r="E91" s="262"/>
      <c r="F91" s="262"/>
      <c r="G91" s="262"/>
      <c r="H91" s="263"/>
      <c r="I91" s="264" t="s">
        <v>180</v>
      </c>
      <c r="J91" s="275"/>
      <c r="K91" s="151">
        <v>5</v>
      </c>
      <c r="L91" s="194" t="s">
        <v>181</v>
      </c>
      <c r="M91" s="240">
        <v>2.5</v>
      </c>
      <c r="N91" s="241"/>
      <c r="O91" s="150">
        <v>230</v>
      </c>
      <c r="P91" s="154">
        <v>50</v>
      </c>
      <c r="Q91" s="281" t="s">
        <v>219</v>
      </c>
      <c r="R91" s="282"/>
      <c r="S91" s="279" t="s">
        <v>220</v>
      </c>
      <c r="T91" s="280"/>
      <c r="U91" s="155">
        <v>0.62</v>
      </c>
      <c r="V91" s="155">
        <v>0.69</v>
      </c>
      <c r="W91" s="261">
        <v>0.39300000000000002</v>
      </c>
      <c r="X91" s="263"/>
      <c r="Y91" s="152"/>
      <c r="Z91" s="270" t="s">
        <v>221</v>
      </c>
      <c r="AA91" s="271"/>
      <c r="AB91" s="153">
        <v>0.3</v>
      </c>
      <c r="AC91" s="91" t="s">
        <v>13</v>
      </c>
      <c r="AD91" s="149"/>
      <c r="AE91" s="90"/>
      <c r="AF91" s="149"/>
      <c r="AG91" s="261"/>
      <c r="AH91" s="263"/>
      <c r="AI91" s="261"/>
      <c r="AJ91" s="263"/>
      <c r="AK91" s="261"/>
      <c r="AL91" s="262"/>
      <c r="AM91" s="263"/>
      <c r="AN91" s="261"/>
      <c r="AO91" s="271"/>
    </row>
    <row r="92" spans="1:41" ht="16.149999999999999" customHeight="1">
      <c r="A92" s="216"/>
      <c r="B92" s="234" t="s">
        <v>213</v>
      </c>
      <c r="C92" s="261" t="s">
        <v>229</v>
      </c>
      <c r="D92" s="262"/>
      <c r="E92" s="262"/>
      <c r="F92" s="262"/>
      <c r="G92" s="262"/>
      <c r="H92" s="263"/>
      <c r="I92" s="264" t="s">
        <v>180</v>
      </c>
      <c r="J92" s="275"/>
      <c r="K92" s="151">
        <v>5</v>
      </c>
      <c r="L92" s="194" t="s">
        <v>181</v>
      </c>
      <c r="M92" s="240">
        <v>2.5</v>
      </c>
      <c r="N92" s="241"/>
      <c r="O92" s="150">
        <v>229</v>
      </c>
      <c r="P92" s="154">
        <v>50</v>
      </c>
      <c r="Q92" s="281" t="s">
        <v>219</v>
      </c>
      <c r="R92" s="282"/>
      <c r="S92" s="279" t="s">
        <v>220</v>
      </c>
      <c r="T92" s="280"/>
      <c r="U92" s="155">
        <v>0.6</v>
      </c>
      <c r="V92" s="155">
        <v>0.66</v>
      </c>
      <c r="W92" s="261">
        <v>0.39</v>
      </c>
      <c r="X92" s="263"/>
      <c r="Y92" s="152"/>
      <c r="Z92" s="270" t="s">
        <v>221</v>
      </c>
      <c r="AA92" s="271"/>
      <c r="AB92" s="153"/>
      <c r="AC92" s="91" t="s">
        <v>13</v>
      </c>
      <c r="AD92" s="149"/>
      <c r="AE92" s="90"/>
      <c r="AF92" s="149"/>
      <c r="AG92" s="261"/>
      <c r="AH92" s="263"/>
      <c r="AI92" s="261"/>
      <c r="AJ92" s="263"/>
      <c r="AK92" s="261"/>
      <c r="AL92" s="262"/>
      <c r="AM92" s="263"/>
      <c r="AN92" s="261"/>
      <c r="AO92" s="271"/>
    </row>
    <row r="93" spans="1:41" ht="16.149999999999999" customHeight="1">
      <c r="A93" s="216"/>
      <c r="B93" s="234" t="s">
        <v>214</v>
      </c>
      <c r="C93" s="261" t="s">
        <v>230</v>
      </c>
      <c r="D93" s="262"/>
      <c r="E93" s="262"/>
      <c r="F93" s="262"/>
      <c r="G93" s="262"/>
      <c r="H93" s="263"/>
      <c r="I93" s="264" t="s">
        <v>180</v>
      </c>
      <c r="J93" s="275"/>
      <c r="K93" s="151">
        <v>5</v>
      </c>
      <c r="L93" s="194" t="s">
        <v>181</v>
      </c>
      <c r="M93" s="240">
        <v>2.5</v>
      </c>
      <c r="N93" s="241"/>
      <c r="O93" s="150">
        <v>227</v>
      </c>
      <c r="P93" s="154">
        <v>50</v>
      </c>
      <c r="Q93" s="281" t="s">
        <v>219</v>
      </c>
      <c r="R93" s="282"/>
      <c r="S93" s="279" t="s">
        <v>220</v>
      </c>
      <c r="T93" s="280"/>
      <c r="U93" s="155">
        <v>0.6</v>
      </c>
      <c r="V93" s="155">
        <v>0.63</v>
      </c>
      <c r="W93" s="261">
        <v>0.379</v>
      </c>
      <c r="X93" s="263"/>
      <c r="Y93" s="152"/>
      <c r="Z93" s="270" t="s">
        <v>221</v>
      </c>
      <c r="AA93" s="271"/>
      <c r="AB93" s="153"/>
      <c r="AC93" s="91" t="s">
        <v>13</v>
      </c>
      <c r="AD93" s="149"/>
      <c r="AE93" s="90"/>
      <c r="AF93" s="149"/>
      <c r="AG93" s="261"/>
      <c r="AH93" s="263"/>
      <c r="AI93" s="261"/>
      <c r="AJ93" s="263"/>
      <c r="AK93" s="261"/>
      <c r="AL93" s="262"/>
      <c r="AM93" s="263"/>
      <c r="AN93" s="261"/>
      <c r="AO93" s="271"/>
    </row>
    <row r="94" spans="1:41" ht="16.149999999999999" customHeight="1">
      <c r="A94" s="216"/>
      <c r="B94" s="234" t="s">
        <v>172</v>
      </c>
      <c r="C94" s="261" t="s">
        <v>230</v>
      </c>
      <c r="D94" s="262"/>
      <c r="E94" s="262"/>
      <c r="F94" s="262"/>
      <c r="G94" s="262"/>
      <c r="H94" s="263"/>
      <c r="I94" s="264" t="s">
        <v>180</v>
      </c>
      <c r="J94" s="275"/>
      <c r="K94" s="151">
        <v>5</v>
      </c>
      <c r="L94" s="194" t="s">
        <v>181</v>
      </c>
      <c r="M94" s="240">
        <v>2.5</v>
      </c>
      <c r="N94" s="241"/>
      <c r="O94" s="150">
        <v>229</v>
      </c>
      <c r="P94" s="154">
        <v>50</v>
      </c>
      <c r="Q94" s="281" t="s">
        <v>219</v>
      </c>
      <c r="R94" s="282"/>
      <c r="S94" s="279" t="s">
        <v>220</v>
      </c>
      <c r="T94" s="280"/>
      <c r="U94" s="155">
        <v>0.62</v>
      </c>
      <c r="V94" s="155">
        <v>0.67</v>
      </c>
      <c r="W94" s="261">
        <v>0.38800000000000001</v>
      </c>
      <c r="X94" s="263"/>
      <c r="Y94" s="152"/>
      <c r="Z94" s="270" t="s">
        <v>221</v>
      </c>
      <c r="AA94" s="271"/>
      <c r="AB94" s="153">
        <v>0.3</v>
      </c>
      <c r="AC94" s="91" t="s">
        <v>13</v>
      </c>
      <c r="AD94" s="149"/>
      <c r="AE94" s="90"/>
      <c r="AF94" s="149"/>
      <c r="AG94" s="261"/>
      <c r="AH94" s="263"/>
      <c r="AI94" s="261"/>
      <c r="AJ94" s="263"/>
      <c r="AK94" s="261"/>
      <c r="AL94" s="262"/>
      <c r="AM94" s="263"/>
      <c r="AN94" s="261"/>
      <c r="AO94" s="271"/>
    </row>
    <row r="95" spans="1:41" ht="16.149999999999999" customHeight="1">
      <c r="A95" s="216"/>
      <c r="B95" s="234" t="s">
        <v>215</v>
      </c>
      <c r="C95" s="261" t="s">
        <v>230</v>
      </c>
      <c r="D95" s="262"/>
      <c r="E95" s="262"/>
      <c r="F95" s="262"/>
      <c r="G95" s="262"/>
      <c r="H95" s="263"/>
      <c r="I95" s="264" t="s">
        <v>180</v>
      </c>
      <c r="J95" s="275"/>
      <c r="K95" s="151">
        <v>5</v>
      </c>
      <c r="L95" s="194" t="s">
        <v>181</v>
      </c>
      <c r="M95" s="240">
        <v>2.5</v>
      </c>
      <c r="N95" s="241"/>
      <c r="O95" s="150">
        <v>228</v>
      </c>
      <c r="P95" s="154">
        <v>50</v>
      </c>
      <c r="Q95" s="281" t="s">
        <v>219</v>
      </c>
      <c r="R95" s="282"/>
      <c r="S95" s="279" t="s">
        <v>220</v>
      </c>
      <c r="T95" s="280"/>
      <c r="U95" s="155">
        <v>0.61</v>
      </c>
      <c r="V95" s="155">
        <v>0.64</v>
      </c>
      <c r="W95" s="261">
        <v>0.38600000000000001</v>
      </c>
      <c r="X95" s="263"/>
      <c r="Y95" s="152"/>
      <c r="Z95" s="270" t="s">
        <v>221</v>
      </c>
      <c r="AA95" s="271"/>
      <c r="AB95" s="153"/>
      <c r="AC95" s="91" t="s">
        <v>13</v>
      </c>
      <c r="AD95" s="149"/>
      <c r="AE95" s="90"/>
      <c r="AF95" s="149"/>
      <c r="AG95" s="261"/>
      <c r="AH95" s="263"/>
      <c r="AI95" s="261"/>
      <c r="AJ95" s="263"/>
      <c r="AK95" s="261"/>
      <c r="AL95" s="262"/>
      <c r="AM95" s="263"/>
      <c r="AN95" s="261"/>
      <c r="AO95" s="271"/>
    </row>
    <row r="96" spans="1:41" ht="16.149999999999999" customHeight="1">
      <c r="A96" s="216"/>
      <c r="B96" s="234" t="s">
        <v>216</v>
      </c>
      <c r="C96" s="261" t="s">
        <v>231</v>
      </c>
      <c r="D96" s="262"/>
      <c r="E96" s="262"/>
      <c r="F96" s="262"/>
      <c r="G96" s="262"/>
      <c r="H96" s="263"/>
      <c r="I96" s="264" t="s">
        <v>180</v>
      </c>
      <c r="J96" s="275"/>
      <c r="K96" s="151">
        <v>5</v>
      </c>
      <c r="L96" s="238" t="s">
        <v>181</v>
      </c>
      <c r="M96" s="240">
        <v>2.5</v>
      </c>
      <c r="N96" s="241"/>
      <c r="O96" s="150">
        <v>227</v>
      </c>
      <c r="P96" s="239">
        <v>50</v>
      </c>
      <c r="Q96" s="281" t="s">
        <v>219</v>
      </c>
      <c r="R96" s="282"/>
      <c r="S96" s="279" t="s">
        <v>220</v>
      </c>
      <c r="T96" s="280"/>
      <c r="U96" s="155">
        <v>0.56000000000000005</v>
      </c>
      <c r="V96" s="155">
        <v>0.59</v>
      </c>
      <c r="W96" s="261">
        <v>0.42699999999999999</v>
      </c>
      <c r="X96" s="263"/>
      <c r="Y96" s="152"/>
      <c r="Z96" s="270" t="s">
        <v>221</v>
      </c>
      <c r="AA96" s="271"/>
      <c r="AB96" s="153"/>
      <c r="AC96" s="91" t="s">
        <v>13</v>
      </c>
      <c r="AD96" s="149"/>
      <c r="AE96" s="90"/>
      <c r="AF96" s="149"/>
      <c r="AG96" s="261"/>
      <c r="AH96" s="263"/>
      <c r="AI96" s="261"/>
      <c r="AJ96" s="263"/>
      <c r="AK96" s="261"/>
      <c r="AL96" s="262"/>
      <c r="AM96" s="263"/>
      <c r="AN96" s="261"/>
      <c r="AO96" s="271"/>
    </row>
    <row r="97" spans="1:41" ht="16.149999999999999" customHeight="1">
      <c r="A97" s="216"/>
      <c r="B97" s="234" t="s">
        <v>217</v>
      </c>
      <c r="C97" s="261" t="s">
        <v>231</v>
      </c>
      <c r="D97" s="262"/>
      <c r="E97" s="262"/>
      <c r="F97" s="262"/>
      <c r="G97" s="262"/>
      <c r="H97" s="263"/>
      <c r="I97" s="264" t="s">
        <v>180</v>
      </c>
      <c r="J97" s="275"/>
      <c r="K97" s="151">
        <v>5</v>
      </c>
      <c r="L97" s="238" t="s">
        <v>181</v>
      </c>
      <c r="M97" s="240">
        <v>2.5</v>
      </c>
      <c r="N97" s="241"/>
      <c r="O97" s="150">
        <v>228</v>
      </c>
      <c r="P97" s="239">
        <v>50</v>
      </c>
      <c r="Q97" s="281" t="s">
        <v>219</v>
      </c>
      <c r="R97" s="282"/>
      <c r="S97" s="279" t="s">
        <v>220</v>
      </c>
      <c r="T97" s="280"/>
      <c r="U97" s="155">
        <v>0.55000000000000004</v>
      </c>
      <c r="V97" s="155">
        <v>0.56999999999999995</v>
      </c>
      <c r="W97" s="261">
        <v>0.42499999999999999</v>
      </c>
      <c r="X97" s="263"/>
      <c r="Y97" s="152"/>
      <c r="Z97" s="270" t="s">
        <v>221</v>
      </c>
      <c r="AA97" s="271"/>
      <c r="AB97" s="153">
        <v>0.4</v>
      </c>
      <c r="AC97" s="91" t="s">
        <v>13</v>
      </c>
      <c r="AD97" s="149"/>
      <c r="AE97" s="90"/>
      <c r="AF97" s="149"/>
      <c r="AG97" s="261"/>
      <c r="AH97" s="263"/>
      <c r="AI97" s="261"/>
      <c r="AJ97" s="263"/>
      <c r="AK97" s="261"/>
      <c r="AL97" s="262"/>
      <c r="AM97" s="263"/>
      <c r="AN97" s="261"/>
      <c r="AO97" s="271"/>
    </row>
    <row r="98" spans="1:41" ht="16.149999999999999" customHeight="1">
      <c r="A98" s="216"/>
      <c r="B98" s="234" t="s">
        <v>218</v>
      </c>
      <c r="C98" s="261" t="s">
        <v>231</v>
      </c>
      <c r="D98" s="262"/>
      <c r="E98" s="262"/>
      <c r="F98" s="262"/>
      <c r="G98" s="262"/>
      <c r="H98" s="263"/>
      <c r="I98" s="264" t="s">
        <v>180</v>
      </c>
      <c r="J98" s="275"/>
      <c r="K98" s="151">
        <v>5</v>
      </c>
      <c r="L98" s="238" t="s">
        <v>181</v>
      </c>
      <c r="M98" s="240">
        <v>2.5</v>
      </c>
      <c r="N98" s="241"/>
      <c r="O98" s="150">
        <v>228</v>
      </c>
      <c r="P98" s="239">
        <v>50</v>
      </c>
      <c r="Q98" s="281" t="s">
        <v>219</v>
      </c>
      <c r="R98" s="282"/>
      <c r="S98" s="279" t="s">
        <v>220</v>
      </c>
      <c r="T98" s="280"/>
      <c r="U98" s="155">
        <v>0.56999999999999995</v>
      </c>
      <c r="V98" s="155">
        <v>0.59</v>
      </c>
      <c r="W98" s="261">
        <v>0.41499999999999998</v>
      </c>
      <c r="X98" s="263"/>
      <c r="Y98" s="152"/>
      <c r="Z98" s="270" t="s">
        <v>221</v>
      </c>
      <c r="AA98" s="271"/>
      <c r="AB98" s="153"/>
      <c r="AC98" s="91" t="s">
        <v>13</v>
      </c>
      <c r="AD98" s="149"/>
      <c r="AE98" s="90"/>
      <c r="AF98" s="149"/>
      <c r="AG98" s="261"/>
      <c r="AH98" s="263"/>
      <c r="AI98" s="261"/>
      <c r="AJ98" s="263"/>
      <c r="AK98" s="261"/>
      <c r="AL98" s="262"/>
      <c r="AM98" s="263"/>
      <c r="AN98" s="261"/>
      <c r="AO98" s="271"/>
    </row>
    <row r="99" spans="1:41" ht="16.149999999999999" customHeight="1">
      <c r="A99" s="216"/>
      <c r="B99" s="234" t="s">
        <v>199</v>
      </c>
      <c r="C99" s="261" t="s">
        <v>228</v>
      </c>
      <c r="D99" s="262"/>
      <c r="E99" s="262"/>
      <c r="F99" s="262"/>
      <c r="G99" s="262"/>
      <c r="H99" s="263"/>
      <c r="I99" s="264" t="s">
        <v>180</v>
      </c>
      <c r="J99" s="275"/>
      <c r="K99" s="151">
        <v>5</v>
      </c>
      <c r="L99" s="235" t="s">
        <v>181</v>
      </c>
      <c r="M99" s="240">
        <v>2.5</v>
      </c>
      <c r="N99" s="241"/>
      <c r="O99" s="150"/>
      <c r="P99" s="154"/>
      <c r="Q99" s="281" t="s">
        <v>219</v>
      </c>
      <c r="R99" s="282"/>
      <c r="S99" s="279" t="s">
        <v>220</v>
      </c>
      <c r="T99" s="280"/>
      <c r="U99" s="155"/>
      <c r="V99" s="155"/>
      <c r="W99" s="261"/>
      <c r="X99" s="263"/>
      <c r="Y99" s="152"/>
      <c r="Z99" s="270"/>
      <c r="AA99" s="271"/>
      <c r="AB99" s="153"/>
      <c r="AC99" s="91" t="s">
        <v>13</v>
      </c>
      <c r="AD99" s="149"/>
      <c r="AE99" s="90"/>
      <c r="AF99" s="149"/>
      <c r="AG99" s="261"/>
      <c r="AH99" s="263"/>
      <c r="AI99" s="261"/>
      <c r="AJ99" s="263"/>
      <c r="AK99" s="261"/>
      <c r="AL99" s="262"/>
      <c r="AM99" s="263"/>
      <c r="AN99" s="261"/>
      <c r="AO99" s="271"/>
    </row>
    <row r="100" spans="1:41" ht="16.149999999999999" customHeight="1">
      <c r="A100" s="216"/>
      <c r="B100" s="234" t="s">
        <v>200</v>
      </c>
      <c r="C100" s="261" t="s">
        <v>228</v>
      </c>
      <c r="D100" s="262"/>
      <c r="E100" s="262"/>
      <c r="F100" s="262"/>
      <c r="G100" s="262"/>
      <c r="H100" s="263"/>
      <c r="I100" s="264" t="s">
        <v>180</v>
      </c>
      <c r="J100" s="275"/>
      <c r="K100" s="151">
        <v>5</v>
      </c>
      <c r="L100" s="235" t="s">
        <v>181</v>
      </c>
      <c r="M100" s="240">
        <v>2.5</v>
      </c>
      <c r="N100" s="241"/>
      <c r="O100" s="150"/>
      <c r="P100" s="154"/>
      <c r="Q100" s="281" t="s">
        <v>219</v>
      </c>
      <c r="R100" s="282"/>
      <c r="S100" s="279" t="s">
        <v>220</v>
      </c>
      <c r="T100" s="280"/>
      <c r="U100" s="155"/>
      <c r="V100" s="155"/>
      <c r="W100" s="261"/>
      <c r="X100" s="263"/>
      <c r="Y100" s="152"/>
      <c r="Z100" s="270"/>
      <c r="AA100" s="271"/>
      <c r="AB100" s="153"/>
      <c r="AC100" s="91" t="s">
        <v>13</v>
      </c>
      <c r="AD100" s="149"/>
      <c r="AE100" s="90"/>
      <c r="AF100" s="149"/>
      <c r="AG100" s="261"/>
      <c r="AH100" s="263"/>
      <c r="AI100" s="261"/>
      <c r="AJ100" s="263"/>
      <c r="AK100" s="261"/>
      <c r="AL100" s="262"/>
      <c r="AM100" s="263"/>
      <c r="AN100" s="261"/>
      <c r="AO100" s="271"/>
    </row>
    <row r="101" spans="1:41" ht="16.149999999999999" customHeight="1">
      <c r="A101" s="216"/>
      <c r="B101" s="234" t="s">
        <v>201</v>
      </c>
      <c r="C101" s="261" t="s">
        <v>228</v>
      </c>
      <c r="D101" s="262"/>
      <c r="E101" s="262"/>
      <c r="F101" s="262"/>
      <c r="G101" s="262"/>
      <c r="H101" s="263"/>
      <c r="I101" s="264" t="s">
        <v>180</v>
      </c>
      <c r="J101" s="275"/>
      <c r="K101" s="151">
        <v>5</v>
      </c>
      <c r="L101" s="235" t="s">
        <v>181</v>
      </c>
      <c r="M101" s="240">
        <v>2.5</v>
      </c>
      <c r="N101" s="241"/>
      <c r="O101" s="150"/>
      <c r="P101" s="154"/>
      <c r="Q101" s="281" t="s">
        <v>219</v>
      </c>
      <c r="R101" s="282"/>
      <c r="S101" s="279" t="s">
        <v>220</v>
      </c>
      <c r="T101" s="280"/>
      <c r="U101" s="155"/>
      <c r="V101" s="155"/>
      <c r="W101" s="261"/>
      <c r="X101" s="263"/>
      <c r="Y101" s="152"/>
      <c r="Z101" s="270"/>
      <c r="AA101" s="271"/>
      <c r="AB101" s="153"/>
      <c r="AC101" s="91" t="s">
        <v>13</v>
      </c>
      <c r="AD101" s="149"/>
      <c r="AE101" s="90"/>
      <c r="AF101" s="149"/>
      <c r="AG101" s="261"/>
      <c r="AH101" s="263"/>
      <c r="AI101" s="261"/>
      <c r="AJ101" s="263"/>
      <c r="AK101" s="261"/>
      <c r="AL101" s="262"/>
      <c r="AM101" s="263"/>
      <c r="AN101" s="261"/>
      <c r="AO101" s="271"/>
    </row>
    <row r="102" spans="1:41" ht="16.149999999999999" customHeight="1">
      <c r="A102" s="216"/>
      <c r="B102" s="225"/>
      <c r="C102" s="261"/>
      <c r="D102" s="262"/>
      <c r="E102" s="262"/>
      <c r="F102" s="262"/>
      <c r="G102" s="262"/>
      <c r="H102" s="263"/>
      <c r="I102" s="264"/>
      <c r="J102" s="275"/>
      <c r="K102" s="151"/>
      <c r="L102" s="194"/>
      <c r="M102" s="240"/>
      <c r="N102" s="241"/>
      <c r="O102" s="150"/>
      <c r="P102" s="154"/>
      <c r="Q102" s="281"/>
      <c r="R102" s="282"/>
      <c r="S102" s="279"/>
      <c r="T102" s="280"/>
      <c r="U102" s="155"/>
      <c r="V102" s="155"/>
      <c r="W102" s="261"/>
      <c r="X102" s="263"/>
      <c r="Y102" s="152"/>
      <c r="Z102" s="270"/>
      <c r="AA102" s="271"/>
      <c r="AB102" s="153"/>
      <c r="AC102" s="91" t="s">
        <v>13</v>
      </c>
      <c r="AD102" s="149"/>
      <c r="AE102" s="90"/>
      <c r="AF102" s="149"/>
      <c r="AG102" s="261"/>
      <c r="AH102" s="263"/>
      <c r="AI102" s="261"/>
      <c r="AJ102" s="263"/>
      <c r="AK102" s="261"/>
      <c r="AL102" s="262"/>
      <c r="AM102" s="263"/>
      <c r="AN102" s="261"/>
      <c r="AO102" s="271"/>
    </row>
    <row r="103" spans="1:41" ht="16.149999999999999" customHeight="1">
      <c r="A103" s="216"/>
      <c r="B103" s="225"/>
      <c r="C103" s="261"/>
      <c r="D103" s="262"/>
      <c r="E103" s="262"/>
      <c r="F103" s="262"/>
      <c r="G103" s="262"/>
      <c r="H103" s="263"/>
      <c r="I103" s="264"/>
      <c r="J103" s="275"/>
      <c r="K103" s="151"/>
      <c r="L103" s="194"/>
      <c r="M103" s="240"/>
      <c r="N103" s="241"/>
      <c r="O103" s="150"/>
      <c r="P103" s="154"/>
      <c r="Q103" s="281"/>
      <c r="R103" s="282"/>
      <c r="S103" s="279"/>
      <c r="T103" s="280"/>
      <c r="U103" s="155"/>
      <c r="V103" s="155"/>
      <c r="W103" s="261"/>
      <c r="X103" s="263"/>
      <c r="Y103" s="152"/>
      <c r="Z103" s="270"/>
      <c r="AA103" s="271"/>
      <c r="AB103" s="153"/>
      <c r="AC103" s="91" t="s">
        <v>13</v>
      </c>
      <c r="AD103" s="149"/>
      <c r="AE103" s="90"/>
      <c r="AF103" s="149"/>
      <c r="AG103" s="261"/>
      <c r="AH103" s="263"/>
      <c r="AI103" s="261"/>
      <c r="AJ103" s="263"/>
      <c r="AK103" s="261"/>
      <c r="AL103" s="262"/>
      <c r="AM103" s="263"/>
      <c r="AN103" s="261"/>
      <c r="AO103" s="271"/>
    </row>
    <row r="104" spans="1:41" ht="16.149999999999999" customHeight="1">
      <c r="A104" s="216"/>
      <c r="B104" s="225"/>
      <c r="C104" s="261"/>
      <c r="D104" s="262"/>
      <c r="E104" s="262"/>
      <c r="F104" s="262"/>
      <c r="G104" s="262"/>
      <c r="H104" s="263"/>
      <c r="I104" s="264"/>
      <c r="J104" s="275"/>
      <c r="K104" s="151"/>
      <c r="L104" s="194"/>
      <c r="M104" s="240"/>
      <c r="N104" s="241"/>
      <c r="O104" s="150"/>
      <c r="P104" s="154"/>
      <c r="Q104" s="281"/>
      <c r="R104" s="282"/>
      <c r="S104" s="279"/>
      <c r="T104" s="280"/>
      <c r="U104" s="155"/>
      <c r="V104" s="155"/>
      <c r="W104" s="261"/>
      <c r="X104" s="263"/>
      <c r="Y104" s="152"/>
      <c r="Z104" s="270"/>
      <c r="AA104" s="271"/>
      <c r="AB104" s="153"/>
      <c r="AC104" s="91" t="s">
        <v>13</v>
      </c>
      <c r="AD104" s="149"/>
      <c r="AE104" s="90"/>
      <c r="AF104" s="149"/>
      <c r="AG104" s="261"/>
      <c r="AH104" s="263"/>
      <c r="AI104" s="261"/>
      <c r="AJ104" s="263"/>
      <c r="AK104" s="261"/>
      <c r="AL104" s="262"/>
      <c r="AM104" s="263"/>
      <c r="AN104" s="261"/>
      <c r="AO104" s="271"/>
    </row>
    <row r="105" spans="1:41" ht="16.149999999999999" customHeight="1">
      <c r="A105" s="216"/>
      <c r="B105" s="225"/>
      <c r="C105" s="261"/>
      <c r="D105" s="262"/>
      <c r="E105" s="262"/>
      <c r="F105" s="262"/>
      <c r="G105" s="262"/>
      <c r="H105" s="263"/>
      <c r="I105" s="264"/>
      <c r="J105" s="275"/>
      <c r="K105" s="151"/>
      <c r="L105" s="194"/>
      <c r="M105" s="240"/>
      <c r="N105" s="241"/>
      <c r="O105" s="150"/>
      <c r="P105" s="154"/>
      <c r="Q105" s="281"/>
      <c r="R105" s="282"/>
      <c r="S105" s="279"/>
      <c r="T105" s="280"/>
      <c r="U105" s="155"/>
      <c r="V105" s="155"/>
      <c r="W105" s="261"/>
      <c r="X105" s="263"/>
      <c r="Y105" s="152"/>
      <c r="Z105" s="270"/>
      <c r="AA105" s="271"/>
      <c r="AB105" s="153"/>
      <c r="AC105" s="91" t="s">
        <v>13</v>
      </c>
      <c r="AD105" s="149"/>
      <c r="AE105" s="90"/>
      <c r="AF105" s="149"/>
      <c r="AG105" s="261"/>
      <c r="AH105" s="263"/>
      <c r="AI105" s="261"/>
      <c r="AJ105" s="263"/>
      <c r="AK105" s="261"/>
      <c r="AL105" s="262"/>
      <c r="AM105" s="263"/>
      <c r="AN105" s="261"/>
      <c r="AO105" s="271"/>
    </row>
    <row r="106" spans="1:41" ht="16.149999999999999" customHeight="1">
      <c r="A106" s="216"/>
      <c r="B106" s="225"/>
      <c r="C106" s="261"/>
      <c r="D106" s="262"/>
      <c r="E106" s="262"/>
      <c r="F106" s="262"/>
      <c r="G106" s="262"/>
      <c r="H106" s="263"/>
      <c r="I106" s="264"/>
      <c r="J106" s="275"/>
      <c r="K106" s="151"/>
      <c r="L106" s="194"/>
      <c r="M106" s="240"/>
      <c r="N106" s="241"/>
      <c r="O106" s="150"/>
      <c r="P106" s="154"/>
      <c r="Q106" s="281"/>
      <c r="R106" s="282"/>
      <c r="S106" s="279"/>
      <c r="T106" s="280"/>
      <c r="U106" s="155"/>
      <c r="V106" s="155"/>
      <c r="W106" s="261"/>
      <c r="X106" s="263"/>
      <c r="Y106" s="152"/>
      <c r="Z106" s="270"/>
      <c r="AA106" s="271"/>
      <c r="AB106" s="153"/>
      <c r="AC106" s="91" t="s">
        <v>13</v>
      </c>
      <c r="AD106" s="149"/>
      <c r="AE106" s="90"/>
      <c r="AF106" s="149"/>
      <c r="AG106" s="261"/>
      <c r="AH106" s="263"/>
      <c r="AI106" s="261"/>
      <c r="AJ106" s="263"/>
      <c r="AK106" s="261"/>
      <c r="AL106" s="262"/>
      <c r="AM106" s="263"/>
      <c r="AN106" s="261"/>
      <c r="AO106" s="271"/>
    </row>
    <row r="107" spans="1:41" ht="16.149999999999999" customHeight="1">
      <c r="A107" s="216"/>
      <c r="B107" s="225"/>
      <c r="C107" s="261"/>
      <c r="D107" s="262"/>
      <c r="E107" s="262"/>
      <c r="F107" s="262"/>
      <c r="G107" s="262"/>
      <c r="H107" s="263"/>
      <c r="I107" s="264"/>
      <c r="J107" s="275"/>
      <c r="K107" s="151"/>
      <c r="L107" s="194"/>
      <c r="M107" s="240"/>
      <c r="N107" s="241"/>
      <c r="O107" s="150"/>
      <c r="P107" s="154"/>
      <c r="Q107" s="281"/>
      <c r="R107" s="282"/>
      <c r="S107" s="279"/>
      <c r="T107" s="280"/>
      <c r="U107" s="155"/>
      <c r="V107" s="155"/>
      <c r="W107" s="261"/>
      <c r="X107" s="263"/>
      <c r="Y107" s="152"/>
      <c r="Z107" s="270"/>
      <c r="AA107" s="271"/>
      <c r="AB107" s="153"/>
      <c r="AC107" s="91" t="s">
        <v>13</v>
      </c>
      <c r="AD107" s="149"/>
      <c r="AE107" s="90"/>
      <c r="AF107" s="149"/>
      <c r="AG107" s="261"/>
      <c r="AH107" s="263"/>
      <c r="AI107" s="261"/>
      <c r="AJ107" s="263"/>
      <c r="AK107" s="261"/>
      <c r="AL107" s="262"/>
      <c r="AM107" s="263"/>
      <c r="AN107" s="261"/>
      <c r="AO107" s="271"/>
    </row>
    <row r="108" spans="1:41" ht="16.149999999999999" customHeight="1">
      <c r="A108" s="216" t="s">
        <v>167</v>
      </c>
      <c r="B108" s="225"/>
      <c r="C108" s="261"/>
      <c r="D108" s="262"/>
      <c r="E108" s="262"/>
      <c r="F108" s="262"/>
      <c r="G108" s="262"/>
      <c r="H108" s="263"/>
      <c r="I108" s="264"/>
      <c r="J108" s="275"/>
      <c r="K108" s="151"/>
      <c r="L108" s="194"/>
      <c r="M108" s="240"/>
      <c r="N108" s="241"/>
      <c r="O108" s="150"/>
      <c r="P108" s="154"/>
      <c r="Q108" s="281"/>
      <c r="R108" s="282"/>
      <c r="S108" s="279"/>
      <c r="T108" s="280"/>
      <c r="U108" s="155"/>
      <c r="V108" s="155"/>
      <c r="W108" s="261"/>
      <c r="X108" s="263"/>
      <c r="Y108" s="152"/>
      <c r="Z108" s="270"/>
      <c r="AA108" s="271"/>
      <c r="AB108" s="153"/>
      <c r="AC108" s="91" t="s">
        <v>13</v>
      </c>
      <c r="AD108" s="149"/>
      <c r="AE108" s="90"/>
      <c r="AF108" s="149"/>
      <c r="AG108" s="261"/>
      <c r="AH108" s="263"/>
      <c r="AI108" s="261"/>
      <c r="AJ108" s="263"/>
      <c r="AK108" s="261"/>
      <c r="AL108" s="262"/>
      <c r="AM108" s="263"/>
      <c r="AN108" s="261"/>
      <c r="AO108" s="271"/>
    </row>
    <row r="109" spans="1:41" ht="16.149999999999999" customHeight="1">
      <c r="A109" s="217" t="s">
        <v>168</v>
      </c>
      <c r="B109" s="225"/>
      <c r="C109" s="261"/>
      <c r="D109" s="262"/>
      <c r="E109" s="262"/>
      <c r="F109" s="262"/>
      <c r="G109" s="262"/>
      <c r="H109" s="263"/>
      <c r="I109" s="264"/>
      <c r="J109" s="275"/>
      <c r="K109" s="151"/>
      <c r="L109" s="194"/>
      <c r="M109" s="240"/>
      <c r="N109" s="241"/>
      <c r="O109" s="150"/>
      <c r="P109" s="154"/>
      <c r="Q109" s="281"/>
      <c r="R109" s="282"/>
      <c r="S109" s="279"/>
      <c r="T109" s="280"/>
      <c r="U109" s="155"/>
      <c r="V109" s="155"/>
      <c r="W109" s="261"/>
      <c r="X109" s="263"/>
      <c r="Y109" s="152"/>
      <c r="Z109" s="270"/>
      <c r="AA109" s="271"/>
      <c r="AB109" s="153"/>
      <c r="AC109" s="91" t="s">
        <v>13</v>
      </c>
      <c r="AD109" s="149"/>
      <c r="AE109" s="90"/>
      <c r="AF109" s="149"/>
      <c r="AG109" s="261"/>
      <c r="AH109" s="263"/>
      <c r="AI109" s="261"/>
      <c r="AJ109" s="263"/>
      <c r="AK109" s="261"/>
      <c r="AL109" s="262"/>
      <c r="AM109" s="263"/>
      <c r="AN109" s="261"/>
      <c r="AO109" s="271"/>
    </row>
    <row r="110" spans="1:41" ht="16.149999999999999" customHeight="1">
      <c r="A110" s="216" t="s">
        <v>169</v>
      </c>
      <c r="B110" s="225"/>
      <c r="C110" s="261"/>
      <c r="D110" s="262"/>
      <c r="E110" s="262"/>
      <c r="F110" s="262"/>
      <c r="G110" s="262"/>
      <c r="H110" s="263"/>
      <c r="I110" s="286"/>
      <c r="J110" s="287"/>
      <c r="K110" s="151"/>
      <c r="L110" s="194"/>
      <c r="M110" s="240"/>
      <c r="N110" s="241"/>
      <c r="O110" s="150"/>
      <c r="P110" s="154"/>
      <c r="Q110" s="281"/>
      <c r="R110" s="282"/>
      <c r="S110" s="279"/>
      <c r="T110" s="280"/>
      <c r="U110" s="156"/>
      <c r="V110" s="155"/>
      <c r="W110" s="261"/>
      <c r="X110" s="263"/>
      <c r="Y110" s="152"/>
      <c r="Z110" s="270"/>
      <c r="AA110" s="271"/>
      <c r="AB110" s="153"/>
      <c r="AC110" s="91" t="s">
        <v>13</v>
      </c>
      <c r="AD110" s="149"/>
      <c r="AE110" s="90"/>
      <c r="AF110" s="149"/>
      <c r="AG110" s="261"/>
      <c r="AH110" s="263"/>
      <c r="AI110" s="261"/>
      <c r="AJ110" s="263"/>
      <c r="AK110" s="261"/>
      <c r="AL110" s="262"/>
      <c r="AM110" s="263"/>
      <c r="AN110" s="261"/>
      <c r="AO110" s="271"/>
    </row>
    <row r="111" spans="1:41" ht="16.149999999999999" customHeight="1">
      <c r="A111" s="216"/>
      <c r="B111" s="225"/>
      <c r="C111" s="261"/>
      <c r="D111" s="262"/>
      <c r="E111" s="262"/>
      <c r="F111" s="262"/>
      <c r="G111" s="262"/>
      <c r="H111" s="263"/>
      <c r="I111" s="286"/>
      <c r="J111" s="287"/>
      <c r="K111" s="151"/>
      <c r="L111" s="194"/>
      <c r="M111" s="240"/>
      <c r="N111" s="241"/>
      <c r="O111" s="150"/>
      <c r="P111" s="154"/>
      <c r="Q111" s="281"/>
      <c r="R111" s="282"/>
      <c r="S111" s="279"/>
      <c r="T111" s="280"/>
      <c r="U111" s="156"/>
      <c r="V111" s="155"/>
      <c r="W111" s="261"/>
      <c r="X111" s="263"/>
      <c r="Y111" s="152"/>
      <c r="Z111" s="270"/>
      <c r="AA111" s="271"/>
      <c r="AB111" s="153"/>
      <c r="AC111" s="91" t="s">
        <v>13</v>
      </c>
      <c r="AD111" s="149"/>
      <c r="AE111" s="90"/>
      <c r="AF111" s="149"/>
      <c r="AG111" s="261"/>
      <c r="AH111" s="263"/>
      <c r="AI111" s="261"/>
      <c r="AJ111" s="263"/>
      <c r="AK111" s="261"/>
      <c r="AL111" s="262"/>
      <c r="AM111" s="263"/>
      <c r="AN111" s="261"/>
      <c r="AO111" s="271"/>
    </row>
    <row r="112" spans="1:41" ht="11.25" customHeight="1">
      <c r="A112" s="160"/>
      <c r="B112" s="198"/>
      <c r="C112" s="92"/>
      <c r="D112" s="92"/>
      <c r="E112" s="92"/>
      <c r="F112" s="92"/>
      <c r="G112" s="92"/>
      <c r="H112" s="92"/>
      <c r="I112" s="92"/>
      <c r="J112" s="92"/>
      <c r="K112" s="26"/>
      <c r="L112" s="59"/>
      <c r="M112" s="59"/>
      <c r="N112" s="59"/>
      <c r="O112" s="93"/>
      <c r="P112" s="93"/>
      <c r="Q112" s="59"/>
      <c r="R112" s="59"/>
      <c r="S112" s="59"/>
      <c r="T112" s="59"/>
      <c r="U112" s="61"/>
      <c r="V112" s="92" t="s">
        <v>140</v>
      </c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O112" s="138"/>
    </row>
    <row r="113" spans="1:41" ht="18" customHeight="1">
      <c r="A113" s="144" t="s">
        <v>118</v>
      </c>
      <c r="B113" s="205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9"/>
      <c r="P113" s="9"/>
      <c r="Q113" s="8"/>
      <c r="R113" s="8"/>
      <c r="S113" s="8"/>
      <c r="T113" s="8"/>
      <c r="U113" s="10"/>
      <c r="V113" s="94" t="s">
        <v>119</v>
      </c>
      <c r="W113" s="8"/>
      <c r="X113" s="8"/>
      <c r="Y113" s="8"/>
      <c r="Z113" s="8"/>
      <c r="AA113" s="8"/>
      <c r="AB113" s="8" t="str">
        <f>J.Konitz</f>
        <v>M.Hildermann</v>
      </c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110"/>
    </row>
    <row r="114" spans="1:41" ht="7.15" customHeight="1">
      <c r="A114" s="111"/>
      <c r="U114" s="13"/>
      <c r="AO114" s="79"/>
    </row>
    <row r="115" spans="1:41">
      <c r="A115" s="111"/>
      <c r="E115" s="268" t="s">
        <v>120</v>
      </c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7" t="s">
        <v>13</v>
      </c>
      <c r="U115" s="13"/>
      <c r="W115" s="268" t="s">
        <v>121</v>
      </c>
      <c r="X115" s="268"/>
      <c r="Y115" s="268"/>
      <c r="Z115" s="268"/>
      <c r="AA115" s="268"/>
      <c r="AB115" s="268"/>
      <c r="AC115" s="268"/>
      <c r="AD115" s="268"/>
      <c r="AE115" s="268"/>
      <c r="AF115" s="268"/>
      <c r="AG115" s="268"/>
      <c r="AH115" s="268"/>
      <c r="AI115" s="268"/>
      <c r="AJ115" s="268"/>
      <c r="AK115" s="268"/>
      <c r="AL115" s="95"/>
      <c r="AM115" s="7" t="str">
        <f>AM74</f>
        <v>þ</v>
      </c>
      <c r="AN115" s="95"/>
      <c r="AO115" s="79"/>
    </row>
    <row r="116" spans="1:41" ht="7.15" customHeight="1">
      <c r="A116" s="111"/>
      <c r="S116" s="29"/>
      <c r="U116" s="13"/>
      <c r="AO116" s="145"/>
    </row>
    <row r="117" spans="1:41">
      <c r="A117" s="111"/>
      <c r="E117" s="268" t="s">
        <v>122</v>
      </c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7" t="s">
        <v>13</v>
      </c>
      <c r="U117" s="96"/>
      <c r="W117" s="268" t="s">
        <v>141</v>
      </c>
      <c r="X117" s="268"/>
      <c r="Y117" s="268"/>
      <c r="Z117" s="268"/>
      <c r="AA117" s="268"/>
      <c r="AB117" s="268"/>
      <c r="AC117" s="268"/>
      <c r="AD117" s="268"/>
      <c r="AE117" s="268"/>
      <c r="AF117" s="268"/>
      <c r="AG117" s="268"/>
      <c r="AH117" s="268"/>
      <c r="AI117" s="268"/>
      <c r="AJ117" s="268"/>
      <c r="AK117" s="268"/>
      <c r="AL117" s="95"/>
      <c r="AM117" s="7" t="str">
        <f>AM76</f>
        <v>o</v>
      </c>
      <c r="AN117" s="95"/>
      <c r="AO117" s="79"/>
    </row>
    <row r="118" spans="1:41" ht="7.15" customHeight="1">
      <c r="A118" s="111"/>
      <c r="U118" s="13"/>
      <c r="AO118" s="79"/>
    </row>
    <row r="119" spans="1:41">
      <c r="A119" s="111" t="s">
        <v>6</v>
      </c>
      <c r="C119" s="288" t="s">
        <v>123</v>
      </c>
      <c r="D119" s="288"/>
      <c r="E119" s="288"/>
      <c r="F119" s="288"/>
      <c r="G119" t="s">
        <v>124</v>
      </c>
      <c r="I119" s="289"/>
      <c r="J119" s="289"/>
      <c r="K119" s="289"/>
      <c r="L119" t="s">
        <v>125</v>
      </c>
      <c r="O119" s="97"/>
      <c r="P119" s="97"/>
      <c r="Q119" s="98"/>
      <c r="R119" s="98"/>
      <c r="S119" s="98"/>
      <c r="T119" s="98"/>
      <c r="U119" s="13"/>
      <c r="V119" t="s">
        <v>6</v>
      </c>
      <c r="X119" s="99" t="s">
        <v>123</v>
      </c>
      <c r="Y119" s="100"/>
      <c r="Z119" t="s">
        <v>124</v>
      </c>
      <c r="AA119" s="100"/>
      <c r="AB119" s="290">
        <f>AB78</f>
        <v>45971</v>
      </c>
      <c r="AC119" s="290"/>
      <c r="AD119" s="101"/>
      <c r="AE119" s="101"/>
      <c r="AF119" t="s">
        <v>125</v>
      </c>
      <c r="AG119" s="101"/>
      <c r="AI119" s="98"/>
      <c r="AJ119" s="98"/>
      <c r="AK119" s="98"/>
      <c r="AL119" s="98"/>
      <c r="AM119" s="98"/>
      <c r="AN119" s="98"/>
      <c r="AO119" s="79"/>
    </row>
    <row r="120" spans="1:41" ht="22.5" customHeight="1">
      <c r="A120" s="146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7"/>
      <c r="P120" s="97"/>
      <c r="Q120" s="98"/>
      <c r="R120" s="98"/>
      <c r="S120" s="98"/>
      <c r="T120" s="98"/>
      <c r="U120" s="147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8"/>
      <c r="AK120" s="98"/>
      <c r="AL120" s="98"/>
      <c r="AM120" s="98"/>
      <c r="AN120" s="98"/>
      <c r="AO120" s="148"/>
    </row>
    <row r="121" spans="1:41" ht="19.5" customHeight="1">
      <c r="A121" s="214" t="s">
        <v>162</v>
      </c>
      <c r="O121" s="58"/>
      <c r="Y121" s="340" t="s">
        <v>153</v>
      </c>
      <c r="Z121" s="340"/>
      <c r="AA121" s="340"/>
      <c r="AB121" s="340"/>
      <c r="AC121" s="340"/>
      <c r="AD121" s="340"/>
      <c r="AE121" s="340"/>
      <c r="AF121" s="340"/>
      <c r="AG121" s="340"/>
      <c r="AH121" s="340"/>
      <c r="AI121" s="340"/>
      <c r="AJ121" s="340"/>
      <c r="AK121" s="340"/>
      <c r="AL121" s="340"/>
      <c r="AM121" s="340"/>
      <c r="AN121" s="340"/>
      <c r="AO121" s="340"/>
    </row>
    <row r="122" spans="1:41" ht="12.75" hidden="1" customHeight="1">
      <c r="A122" s="131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133"/>
      <c r="P122" s="133"/>
      <c r="Q122" s="132"/>
      <c r="R122" s="132"/>
      <c r="S122" s="132"/>
      <c r="T122" s="132"/>
      <c r="U122" s="132"/>
      <c r="V122" s="132"/>
      <c r="W122" s="132"/>
      <c r="X122" s="132"/>
      <c r="Y122" s="134"/>
      <c r="Z122" s="132"/>
      <c r="AA122" s="132"/>
      <c r="AB122" s="132"/>
      <c r="AC122" s="132"/>
      <c r="AD122" s="132"/>
      <c r="AE122" s="132"/>
      <c r="AF122" s="132"/>
      <c r="AG122" s="132"/>
      <c r="AH122" s="132"/>
      <c r="AI122" s="132"/>
      <c r="AJ122" s="132"/>
      <c r="AK122" s="132"/>
      <c r="AL122" s="132"/>
      <c r="AM122" s="132"/>
      <c r="AN122" s="132"/>
      <c r="AO122" s="135"/>
    </row>
    <row r="123" spans="1:41" ht="18" hidden="1" customHeight="1">
      <c r="A123" s="136"/>
      <c r="B123" s="201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12"/>
      <c r="T123" s="12"/>
      <c r="U123" s="12"/>
      <c r="AG123" s="285"/>
      <c r="AH123" s="285"/>
      <c r="AI123" s="2"/>
      <c r="AJ123" s="2"/>
      <c r="AK123" s="2"/>
      <c r="AO123" s="79"/>
    </row>
    <row r="124" spans="1:41" ht="16.149999999999999" hidden="1" customHeight="1">
      <c r="A124" s="112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5"/>
      <c r="P124" s="15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37"/>
    </row>
    <row r="125" spans="1:41" s="6" customFormat="1" ht="16.149999999999999" hidden="1" customHeight="1">
      <c r="A125" s="193"/>
      <c r="B125" s="202"/>
      <c r="C125" s="59"/>
      <c r="D125" s="59"/>
      <c r="E125" s="59"/>
      <c r="F125" s="59"/>
      <c r="G125" s="59"/>
      <c r="H125" s="59"/>
      <c r="I125" s="59"/>
      <c r="J125" s="59"/>
      <c r="K125" s="337"/>
      <c r="L125" s="337"/>
      <c r="M125" s="337"/>
      <c r="N125" s="337"/>
      <c r="O125" s="337"/>
      <c r="P125" s="337"/>
      <c r="Q125" s="337"/>
      <c r="R125" s="337"/>
      <c r="S125" s="337"/>
      <c r="T125" s="337"/>
      <c r="U125" s="59"/>
      <c r="V125" s="338"/>
      <c r="W125" s="339"/>
      <c r="X125" s="339"/>
      <c r="Y125" s="337"/>
      <c r="Z125" s="337"/>
      <c r="AA125" s="337"/>
      <c r="AB125" s="337"/>
      <c r="AC125" s="337"/>
      <c r="AD125" s="337"/>
      <c r="AE125" s="337"/>
      <c r="AF125" s="337"/>
      <c r="AG125" s="337"/>
      <c r="AH125" s="60"/>
      <c r="AI125" s="60"/>
      <c r="AJ125" s="59"/>
      <c r="AK125" s="59"/>
      <c r="AL125" s="59"/>
      <c r="AM125" s="59"/>
      <c r="AN125" s="59"/>
      <c r="AO125" s="138"/>
    </row>
    <row r="126" spans="1:41" s="6" customFormat="1" ht="16.149999999999999" hidden="1" customHeight="1">
      <c r="A126" s="139"/>
      <c r="B126" s="203"/>
      <c r="C126" s="309"/>
      <c r="D126" s="309"/>
      <c r="E126" s="309"/>
      <c r="F126" s="309"/>
      <c r="G126" s="62"/>
      <c r="H126" s="63"/>
      <c r="I126" s="310"/>
      <c r="J126" s="310"/>
      <c r="K126" s="310"/>
      <c r="L126" s="310"/>
      <c r="M126" s="310"/>
      <c r="N126" s="310"/>
      <c r="O126" s="64"/>
      <c r="P126" s="65"/>
      <c r="Q126" s="309"/>
      <c r="R126" s="309"/>
      <c r="S126" s="309"/>
      <c r="T126" s="309"/>
      <c r="U126" s="309"/>
      <c r="V126" s="311"/>
      <c r="W126" s="311"/>
      <c r="X126" s="312"/>
      <c r="Y126" s="313"/>
      <c r="Z126" s="314"/>
      <c r="AA126" s="315"/>
      <c r="AB126" s="320"/>
      <c r="AC126" s="321"/>
      <c r="AD126" s="323"/>
      <c r="AE126" s="323"/>
      <c r="AF126" s="323"/>
      <c r="AG126" s="323"/>
      <c r="AH126" s="323"/>
      <c r="AI126" s="323"/>
      <c r="AJ126" s="323"/>
      <c r="AK126" s="323"/>
      <c r="AL126" s="323"/>
      <c r="AM126" s="323"/>
      <c r="AN126" s="305"/>
      <c r="AO126" s="306"/>
    </row>
    <row r="127" spans="1:41" s="6" customFormat="1" ht="15" hidden="1" customHeight="1">
      <c r="A127" s="140"/>
      <c r="B127" s="196"/>
      <c r="C127" s="308"/>
      <c r="D127" s="308"/>
      <c r="E127" s="308"/>
      <c r="F127" s="308"/>
      <c r="G127" s="308"/>
      <c r="H127" s="308"/>
      <c r="I127" s="296"/>
      <c r="J127" s="296"/>
      <c r="K127" s="318"/>
      <c r="L127" s="319"/>
      <c r="M127" s="319"/>
      <c r="N127" s="319"/>
      <c r="O127" s="66"/>
      <c r="P127" s="67"/>
      <c r="Q127" s="319"/>
      <c r="R127" s="308"/>
      <c r="S127" s="296"/>
      <c r="T127" s="296"/>
      <c r="U127" s="68"/>
      <c r="V127" s="69"/>
      <c r="W127" s="308"/>
      <c r="X127" s="308"/>
      <c r="Y127" s="70"/>
      <c r="Z127" s="316"/>
      <c r="AA127" s="317"/>
      <c r="AB127" s="320"/>
      <c r="AC127" s="321"/>
      <c r="AD127" s="71"/>
      <c r="AE127" s="174"/>
      <c r="AF127" s="174"/>
      <c r="AG127" s="296"/>
      <c r="AH127" s="296"/>
      <c r="AI127" s="307"/>
      <c r="AJ127" s="307"/>
      <c r="AK127" s="308"/>
      <c r="AL127" s="308"/>
      <c r="AM127" s="308"/>
      <c r="AN127" s="305"/>
      <c r="AO127" s="306"/>
    </row>
    <row r="128" spans="1:41" ht="14.25" hidden="1" customHeight="1">
      <c r="A128" s="141"/>
      <c r="B128" s="210"/>
      <c r="C128" s="72"/>
      <c r="D128" s="72"/>
      <c r="E128" s="72"/>
      <c r="F128" s="72"/>
      <c r="G128" s="72"/>
      <c r="H128" s="73"/>
      <c r="I128" s="48"/>
      <c r="J128" s="49"/>
      <c r="K128" s="319"/>
      <c r="L128" s="319"/>
      <c r="M128" s="319"/>
      <c r="N128" s="324"/>
      <c r="O128" s="74"/>
      <c r="P128" s="75"/>
      <c r="Q128" s="325"/>
      <c r="R128" s="308"/>
      <c r="S128" s="6"/>
      <c r="T128" s="6"/>
      <c r="U128" s="76"/>
      <c r="V128" s="77"/>
      <c r="W128" s="326"/>
      <c r="X128" s="327"/>
      <c r="Y128" s="78"/>
      <c r="Z128" s="328"/>
      <c r="AA128" s="329"/>
      <c r="AB128" s="320"/>
      <c r="AC128" s="321"/>
      <c r="AD128" s="81"/>
      <c r="AE128" s="175"/>
      <c r="AF128" s="6"/>
      <c r="AG128" s="330"/>
      <c r="AH128" s="330"/>
      <c r="AI128" s="296"/>
      <c r="AJ128" s="296"/>
      <c r="AK128" s="6"/>
      <c r="AL128" s="6"/>
      <c r="AM128" s="6"/>
      <c r="AN128" s="305"/>
      <c r="AO128" s="306"/>
    </row>
    <row r="129" spans="1:41" ht="16.149999999999999" hidden="1" customHeight="1">
      <c r="A129" s="141"/>
      <c r="B129" s="210"/>
      <c r="C129" s="72"/>
      <c r="D129" s="72"/>
      <c r="E129" s="72"/>
      <c r="F129" s="72"/>
      <c r="G129" s="72"/>
      <c r="H129" s="72"/>
      <c r="I129" s="111"/>
      <c r="J129" s="79"/>
      <c r="K129" s="319"/>
      <c r="L129" s="319"/>
      <c r="M129" s="319"/>
      <c r="N129" s="324"/>
      <c r="O129" s="74"/>
      <c r="P129" s="75"/>
      <c r="Q129" s="325"/>
      <c r="R129" s="308"/>
      <c r="S129" s="331"/>
      <c r="T129" s="327"/>
      <c r="U129" s="80"/>
      <c r="V129" s="81"/>
      <c r="W129" s="332"/>
      <c r="X129" s="333"/>
      <c r="Y129" s="82"/>
      <c r="Z129" s="334"/>
      <c r="AA129" s="335"/>
      <c r="AB129" s="83"/>
      <c r="AC129" s="321"/>
      <c r="AD129" s="176"/>
      <c r="AE129" s="84"/>
      <c r="AF129" s="176"/>
      <c r="AG129" s="336"/>
      <c r="AH129" s="336"/>
      <c r="AI129" s="296"/>
      <c r="AJ129" s="296"/>
      <c r="AK129" s="308"/>
      <c r="AL129" s="308"/>
      <c r="AM129" s="308"/>
      <c r="AN129" s="305"/>
      <c r="AO129" s="306"/>
    </row>
    <row r="130" spans="1:41" ht="16.149999999999999" hidden="1" customHeight="1">
      <c r="A130" s="142"/>
      <c r="B130" s="211"/>
      <c r="I130" s="146"/>
      <c r="J130" s="79"/>
      <c r="M130" s="300"/>
      <c r="N130" s="300"/>
      <c r="O130" s="86"/>
      <c r="P130" s="87"/>
      <c r="Q130" s="266"/>
      <c r="R130" s="267"/>
      <c r="S130" s="11"/>
      <c r="T130" s="13"/>
      <c r="U130" s="85"/>
      <c r="V130" s="85"/>
      <c r="X130" s="13"/>
      <c r="Y130" s="88"/>
      <c r="AA130" s="79"/>
      <c r="AB130" s="89"/>
      <c r="AC130" s="322"/>
      <c r="AD130" s="13"/>
      <c r="AE130" s="85"/>
      <c r="AF130" s="85"/>
      <c r="AG130" s="11"/>
      <c r="AH130" s="13"/>
      <c r="AI130" s="301"/>
      <c r="AJ130" s="302"/>
      <c r="AK130" s="53"/>
      <c r="AL130" s="53"/>
      <c r="AM130" s="49"/>
      <c r="AN130" s="303"/>
      <c r="AO130" s="304"/>
    </row>
    <row r="131" spans="1:41" ht="16.149999999999999" hidden="1" customHeight="1">
      <c r="A131" s="216"/>
      <c r="B131" s="198"/>
      <c r="C131" s="272"/>
      <c r="D131" s="273"/>
      <c r="E131" s="273"/>
      <c r="F131" s="273"/>
      <c r="G131" s="273"/>
      <c r="H131" s="274"/>
      <c r="I131" s="264"/>
      <c r="J131" s="275"/>
      <c r="K131" s="151"/>
      <c r="L131" s="224"/>
      <c r="M131" s="240"/>
      <c r="N131" s="241"/>
      <c r="O131" s="150"/>
      <c r="P131" s="154"/>
      <c r="Q131" s="281"/>
      <c r="R131" s="282"/>
      <c r="S131" s="279"/>
      <c r="T131" s="280"/>
      <c r="U131" s="155"/>
      <c r="V131" s="155"/>
      <c r="W131" s="261"/>
      <c r="X131" s="263"/>
      <c r="Y131" s="152"/>
      <c r="Z131" s="270"/>
      <c r="AA131" s="271"/>
      <c r="AB131" s="153"/>
      <c r="AC131" s="91"/>
      <c r="AD131" s="149"/>
      <c r="AE131" s="90"/>
      <c r="AF131" s="149"/>
      <c r="AG131" s="261"/>
      <c r="AH131" s="263"/>
      <c r="AI131" s="261"/>
      <c r="AJ131" s="263"/>
      <c r="AK131" s="261"/>
      <c r="AL131" s="262"/>
      <c r="AM131" s="263"/>
      <c r="AN131" s="261"/>
      <c r="AO131" s="271"/>
    </row>
    <row r="132" spans="1:41" ht="16.149999999999999" hidden="1" customHeight="1">
      <c r="A132" s="216"/>
      <c r="B132" s="198"/>
      <c r="C132" s="272"/>
      <c r="D132" s="273"/>
      <c r="E132" s="273"/>
      <c r="F132" s="273"/>
      <c r="G132" s="273"/>
      <c r="H132" s="274"/>
      <c r="I132" s="264"/>
      <c r="J132" s="275"/>
      <c r="K132" s="151"/>
      <c r="L132" s="194"/>
      <c r="M132" s="240"/>
      <c r="N132" s="241"/>
      <c r="O132" s="150"/>
      <c r="P132" s="154"/>
      <c r="Q132" s="281"/>
      <c r="R132" s="282"/>
      <c r="S132" s="279"/>
      <c r="T132" s="280"/>
      <c r="U132" s="155"/>
      <c r="V132" s="155"/>
      <c r="W132" s="261"/>
      <c r="X132" s="263"/>
      <c r="Y132" s="152"/>
      <c r="Z132" s="270"/>
      <c r="AA132" s="271"/>
      <c r="AB132" s="153"/>
      <c r="AC132" s="91"/>
      <c r="AD132" s="149"/>
      <c r="AE132" s="90"/>
      <c r="AF132" s="149"/>
      <c r="AG132" s="261"/>
      <c r="AH132" s="263"/>
      <c r="AI132" s="261"/>
      <c r="AJ132" s="263"/>
      <c r="AK132" s="261"/>
      <c r="AL132" s="262"/>
      <c r="AM132" s="263"/>
      <c r="AN132" s="261"/>
      <c r="AO132" s="271"/>
    </row>
    <row r="133" spans="1:41" ht="16.149999999999999" hidden="1" customHeight="1">
      <c r="A133" s="216"/>
      <c r="B133" s="225"/>
      <c r="C133" s="272"/>
      <c r="D133" s="273"/>
      <c r="E133" s="273"/>
      <c r="F133" s="273"/>
      <c r="G133" s="273"/>
      <c r="H133" s="274"/>
      <c r="I133" s="264"/>
      <c r="J133" s="275"/>
      <c r="K133" s="151"/>
      <c r="L133" s="194"/>
      <c r="M133" s="240"/>
      <c r="N133" s="241"/>
      <c r="O133" s="150"/>
      <c r="P133" s="154"/>
      <c r="Q133" s="281"/>
      <c r="R133" s="282"/>
      <c r="S133" s="279"/>
      <c r="T133" s="280"/>
      <c r="U133" s="155"/>
      <c r="V133" s="155"/>
      <c r="W133" s="261"/>
      <c r="X133" s="263"/>
      <c r="Y133" s="152"/>
      <c r="Z133" s="270"/>
      <c r="AA133" s="271"/>
      <c r="AB133" s="153"/>
      <c r="AC133" s="91"/>
      <c r="AD133" s="149"/>
      <c r="AE133" s="90"/>
      <c r="AF133" s="149"/>
      <c r="AG133" s="261"/>
      <c r="AH133" s="263"/>
      <c r="AI133" s="261"/>
      <c r="AJ133" s="263"/>
      <c r="AK133" s="261"/>
      <c r="AL133" s="262"/>
      <c r="AM133" s="263"/>
      <c r="AN133" s="261"/>
      <c r="AO133" s="271"/>
    </row>
    <row r="134" spans="1:41" ht="16.149999999999999" hidden="1" customHeight="1">
      <c r="A134" s="216"/>
      <c r="B134" s="225"/>
      <c r="C134" s="272"/>
      <c r="D134" s="273"/>
      <c r="E134" s="273"/>
      <c r="F134" s="273"/>
      <c r="G134" s="273"/>
      <c r="H134" s="274"/>
      <c r="I134" s="264"/>
      <c r="J134" s="275"/>
      <c r="K134" s="151"/>
      <c r="L134" s="194"/>
      <c r="M134" s="240"/>
      <c r="N134" s="241"/>
      <c r="O134" s="150"/>
      <c r="P134" s="154"/>
      <c r="Q134" s="281"/>
      <c r="R134" s="282"/>
      <c r="S134" s="279"/>
      <c r="T134" s="280"/>
      <c r="U134" s="155"/>
      <c r="V134" s="155"/>
      <c r="W134" s="261"/>
      <c r="X134" s="263"/>
      <c r="Y134" s="152"/>
      <c r="Z134" s="270"/>
      <c r="AA134" s="271"/>
      <c r="AB134" s="153"/>
      <c r="AC134" s="91"/>
      <c r="AD134" s="149"/>
      <c r="AE134" s="90"/>
      <c r="AF134" s="149"/>
      <c r="AG134" s="261"/>
      <c r="AH134" s="263"/>
      <c r="AI134" s="261"/>
      <c r="AJ134" s="263"/>
      <c r="AK134" s="261"/>
      <c r="AL134" s="262"/>
      <c r="AM134" s="263"/>
      <c r="AN134" s="261"/>
      <c r="AO134" s="271"/>
    </row>
    <row r="135" spans="1:41" ht="16.149999999999999" hidden="1" customHeight="1">
      <c r="A135" s="216"/>
      <c r="B135" s="198"/>
      <c r="C135" s="272"/>
      <c r="D135" s="273"/>
      <c r="E135" s="273"/>
      <c r="F135" s="273"/>
      <c r="G135" s="273"/>
      <c r="H135" s="274"/>
      <c r="I135" s="264"/>
      <c r="J135" s="275"/>
      <c r="K135" s="151"/>
      <c r="L135" s="194"/>
      <c r="M135" s="240"/>
      <c r="N135" s="241"/>
      <c r="O135" s="150"/>
      <c r="P135" s="154"/>
      <c r="Q135" s="281"/>
      <c r="R135" s="282"/>
      <c r="S135" s="279"/>
      <c r="T135" s="280"/>
      <c r="U135" s="155"/>
      <c r="V135" s="155"/>
      <c r="W135" s="261"/>
      <c r="X135" s="263"/>
      <c r="Y135" s="152"/>
      <c r="Z135" s="270"/>
      <c r="AA135" s="271"/>
      <c r="AB135" s="153"/>
      <c r="AC135" s="91"/>
      <c r="AD135" s="149"/>
      <c r="AE135" s="90"/>
      <c r="AF135" s="149"/>
      <c r="AG135" s="261"/>
      <c r="AH135" s="263"/>
      <c r="AI135" s="261"/>
      <c r="AJ135" s="263"/>
      <c r="AK135" s="261"/>
      <c r="AL135" s="262"/>
      <c r="AM135" s="263"/>
      <c r="AN135" s="261"/>
      <c r="AO135" s="271"/>
    </row>
    <row r="136" spans="1:41" ht="16.149999999999999" hidden="1" customHeight="1">
      <c r="A136" s="216"/>
      <c r="B136" s="225"/>
      <c r="C136" s="272"/>
      <c r="D136" s="273"/>
      <c r="E136" s="273"/>
      <c r="F136" s="273"/>
      <c r="G136" s="273"/>
      <c r="H136" s="274"/>
      <c r="I136" s="264"/>
      <c r="J136" s="275"/>
      <c r="K136" s="151"/>
      <c r="L136" s="194"/>
      <c r="M136" s="240"/>
      <c r="N136" s="241"/>
      <c r="O136" s="150"/>
      <c r="P136" s="154"/>
      <c r="Q136" s="281"/>
      <c r="R136" s="282"/>
      <c r="S136" s="279"/>
      <c r="T136" s="280"/>
      <c r="U136" s="155"/>
      <c r="V136" s="155"/>
      <c r="W136" s="261"/>
      <c r="X136" s="263"/>
      <c r="Y136" s="152"/>
      <c r="Z136" s="270"/>
      <c r="AA136" s="271"/>
      <c r="AB136" s="153"/>
      <c r="AC136" s="91"/>
      <c r="AD136" s="149"/>
      <c r="AE136" s="90"/>
      <c r="AF136" s="149"/>
      <c r="AG136" s="261"/>
      <c r="AH136" s="263"/>
      <c r="AI136" s="261"/>
      <c r="AJ136" s="263"/>
      <c r="AK136" s="261"/>
      <c r="AL136" s="262"/>
      <c r="AM136" s="263"/>
      <c r="AN136" s="261"/>
      <c r="AO136" s="271"/>
    </row>
    <row r="137" spans="1:41" ht="16.149999999999999" hidden="1" customHeight="1">
      <c r="A137" s="216"/>
      <c r="B137" s="225"/>
      <c r="C137" s="272"/>
      <c r="D137" s="273"/>
      <c r="E137" s="273"/>
      <c r="F137" s="273"/>
      <c r="G137" s="273"/>
      <c r="H137" s="274"/>
      <c r="I137" s="264"/>
      <c r="J137" s="275"/>
      <c r="K137" s="151"/>
      <c r="L137" s="194"/>
      <c r="M137" s="240"/>
      <c r="N137" s="241"/>
      <c r="O137" s="150"/>
      <c r="P137" s="154"/>
      <c r="Q137" s="281"/>
      <c r="R137" s="282"/>
      <c r="S137" s="279"/>
      <c r="T137" s="280"/>
      <c r="U137" s="155"/>
      <c r="V137" s="155"/>
      <c r="W137" s="261"/>
      <c r="X137" s="263"/>
      <c r="Y137" s="152"/>
      <c r="Z137" s="270"/>
      <c r="AA137" s="271"/>
      <c r="AB137" s="153"/>
      <c r="AC137" s="91"/>
      <c r="AD137" s="149"/>
      <c r="AE137" s="90"/>
      <c r="AF137" s="149"/>
      <c r="AG137" s="261"/>
      <c r="AH137" s="263"/>
      <c r="AI137" s="261"/>
      <c r="AJ137" s="263"/>
      <c r="AK137" s="261"/>
      <c r="AL137" s="262"/>
      <c r="AM137" s="263"/>
      <c r="AN137" s="261"/>
      <c r="AO137" s="271"/>
    </row>
    <row r="138" spans="1:41" ht="16.149999999999999" hidden="1" customHeight="1">
      <c r="A138" s="216"/>
      <c r="B138" s="225"/>
      <c r="C138" s="272"/>
      <c r="D138" s="273"/>
      <c r="E138" s="273"/>
      <c r="F138" s="273"/>
      <c r="G138" s="273"/>
      <c r="H138" s="274"/>
      <c r="I138" s="264"/>
      <c r="J138" s="275"/>
      <c r="K138" s="151"/>
      <c r="L138" s="194"/>
      <c r="M138" s="240"/>
      <c r="N138" s="241"/>
      <c r="O138" s="150"/>
      <c r="P138" s="154"/>
      <c r="Q138" s="281"/>
      <c r="R138" s="282"/>
      <c r="S138" s="279"/>
      <c r="T138" s="280"/>
      <c r="U138" s="155"/>
      <c r="V138" s="155"/>
      <c r="W138" s="261"/>
      <c r="X138" s="263"/>
      <c r="Y138" s="152"/>
      <c r="Z138" s="270"/>
      <c r="AA138" s="271"/>
      <c r="AB138" s="153"/>
      <c r="AC138" s="91"/>
      <c r="AD138" s="149"/>
      <c r="AE138" s="90"/>
      <c r="AF138" s="149"/>
      <c r="AG138" s="261"/>
      <c r="AH138" s="263"/>
      <c r="AI138" s="261"/>
      <c r="AJ138" s="263"/>
      <c r="AK138" s="261"/>
      <c r="AL138" s="262"/>
      <c r="AM138" s="263"/>
      <c r="AN138" s="261"/>
      <c r="AO138" s="271"/>
    </row>
    <row r="139" spans="1:41" ht="16.149999999999999" hidden="1" customHeight="1">
      <c r="A139" s="216"/>
      <c r="B139" s="225"/>
      <c r="C139" s="272"/>
      <c r="D139" s="273"/>
      <c r="E139" s="273"/>
      <c r="F139" s="273"/>
      <c r="G139" s="273"/>
      <c r="H139" s="274"/>
      <c r="I139" s="264"/>
      <c r="J139" s="275"/>
      <c r="K139" s="151"/>
      <c r="L139" s="194"/>
      <c r="M139" s="240"/>
      <c r="N139" s="241"/>
      <c r="O139" s="150"/>
      <c r="P139" s="154"/>
      <c r="Q139" s="281"/>
      <c r="R139" s="282"/>
      <c r="S139" s="279"/>
      <c r="T139" s="280"/>
      <c r="U139" s="155"/>
      <c r="V139" s="155"/>
      <c r="W139" s="261"/>
      <c r="X139" s="263"/>
      <c r="Y139" s="152"/>
      <c r="Z139" s="270"/>
      <c r="AA139" s="271"/>
      <c r="AB139" s="153"/>
      <c r="AC139" s="91"/>
      <c r="AD139" s="149"/>
      <c r="AE139" s="90"/>
      <c r="AF139" s="149"/>
      <c r="AG139" s="261"/>
      <c r="AH139" s="263"/>
      <c r="AI139" s="261"/>
      <c r="AJ139" s="263"/>
      <c r="AK139" s="261"/>
      <c r="AL139" s="262"/>
      <c r="AM139" s="263"/>
      <c r="AN139" s="261"/>
      <c r="AO139" s="271"/>
    </row>
    <row r="140" spans="1:41" ht="16.149999999999999" hidden="1" customHeight="1">
      <c r="A140" s="216"/>
      <c r="B140" s="225"/>
      <c r="C140" s="272"/>
      <c r="D140" s="273"/>
      <c r="E140" s="273"/>
      <c r="F140" s="273"/>
      <c r="G140" s="273"/>
      <c r="H140" s="274"/>
      <c r="I140" s="264"/>
      <c r="J140" s="275"/>
      <c r="K140" s="151"/>
      <c r="L140" s="194"/>
      <c r="M140" s="240"/>
      <c r="N140" s="241"/>
      <c r="O140" s="150"/>
      <c r="P140" s="154"/>
      <c r="Q140" s="281"/>
      <c r="R140" s="282"/>
      <c r="S140" s="279"/>
      <c r="T140" s="280"/>
      <c r="U140" s="155"/>
      <c r="V140" s="155"/>
      <c r="W140" s="261"/>
      <c r="X140" s="263"/>
      <c r="Y140" s="152"/>
      <c r="Z140" s="270"/>
      <c r="AA140" s="271"/>
      <c r="AB140" s="153"/>
      <c r="AC140" s="91"/>
      <c r="AD140" s="149"/>
      <c r="AE140" s="90"/>
      <c r="AF140" s="149"/>
      <c r="AG140" s="261"/>
      <c r="AH140" s="263"/>
      <c r="AI140" s="261"/>
      <c r="AJ140" s="263"/>
      <c r="AK140" s="261"/>
      <c r="AL140" s="262"/>
      <c r="AM140" s="263"/>
      <c r="AN140" s="261"/>
      <c r="AO140" s="271"/>
    </row>
    <row r="141" spans="1:41" ht="16.149999999999999" hidden="1" customHeight="1">
      <c r="A141" s="216"/>
      <c r="B141" s="225"/>
      <c r="C141" s="272"/>
      <c r="D141" s="273"/>
      <c r="E141" s="273"/>
      <c r="F141" s="273"/>
      <c r="G141" s="273"/>
      <c r="H141" s="274"/>
      <c r="I141" s="264"/>
      <c r="J141" s="275"/>
      <c r="K141" s="151"/>
      <c r="L141" s="194"/>
      <c r="M141" s="240"/>
      <c r="N141" s="241"/>
      <c r="O141" s="150"/>
      <c r="P141" s="154"/>
      <c r="Q141" s="281"/>
      <c r="R141" s="282"/>
      <c r="S141" s="279"/>
      <c r="T141" s="280"/>
      <c r="U141" s="155"/>
      <c r="V141" s="155"/>
      <c r="W141" s="261"/>
      <c r="X141" s="263"/>
      <c r="Y141" s="152"/>
      <c r="Z141" s="270"/>
      <c r="AA141" s="271"/>
      <c r="AB141" s="153"/>
      <c r="AC141" s="91"/>
      <c r="AD141" s="149"/>
      <c r="AE141" s="90"/>
      <c r="AF141" s="149"/>
      <c r="AG141" s="261"/>
      <c r="AH141" s="263"/>
      <c r="AI141" s="261"/>
      <c r="AJ141" s="263"/>
      <c r="AK141" s="261"/>
      <c r="AL141" s="262"/>
      <c r="AM141" s="263"/>
      <c r="AN141" s="261"/>
      <c r="AO141" s="271"/>
    </row>
    <row r="142" spans="1:41" ht="16.149999999999999" hidden="1" customHeight="1">
      <c r="A142" s="216"/>
      <c r="B142" s="225"/>
      <c r="C142" s="272"/>
      <c r="D142" s="273"/>
      <c r="E142" s="273"/>
      <c r="F142" s="273"/>
      <c r="G142" s="273"/>
      <c r="H142" s="274"/>
      <c r="I142" s="264"/>
      <c r="J142" s="275"/>
      <c r="K142" s="151"/>
      <c r="L142" s="194"/>
      <c r="M142" s="240"/>
      <c r="N142" s="241"/>
      <c r="O142" s="150"/>
      <c r="P142" s="154"/>
      <c r="Q142" s="281"/>
      <c r="R142" s="282"/>
      <c r="S142" s="279"/>
      <c r="T142" s="280"/>
      <c r="U142" s="155"/>
      <c r="V142" s="155"/>
      <c r="W142" s="261"/>
      <c r="X142" s="263"/>
      <c r="Y142" s="152"/>
      <c r="Z142" s="270"/>
      <c r="AA142" s="271"/>
      <c r="AB142" s="153"/>
      <c r="AC142" s="91"/>
      <c r="AD142" s="149"/>
      <c r="AE142" s="90"/>
      <c r="AF142" s="149"/>
      <c r="AG142" s="261"/>
      <c r="AH142" s="263"/>
      <c r="AI142" s="261"/>
      <c r="AJ142" s="263"/>
      <c r="AK142" s="261"/>
      <c r="AL142" s="262"/>
      <c r="AM142" s="263"/>
      <c r="AN142" s="261"/>
      <c r="AO142" s="271"/>
    </row>
    <row r="143" spans="1:41" ht="16.149999999999999" hidden="1" customHeight="1">
      <c r="A143" s="216"/>
      <c r="B143" s="225"/>
      <c r="C143" s="272"/>
      <c r="D143" s="273"/>
      <c r="E143" s="273"/>
      <c r="F143" s="273"/>
      <c r="G143" s="273"/>
      <c r="H143" s="274"/>
      <c r="I143" s="264"/>
      <c r="J143" s="275"/>
      <c r="K143" s="151"/>
      <c r="L143" s="194"/>
      <c r="M143" s="240"/>
      <c r="N143" s="241"/>
      <c r="O143" s="150"/>
      <c r="P143" s="154"/>
      <c r="Q143" s="281"/>
      <c r="R143" s="282"/>
      <c r="S143" s="279"/>
      <c r="T143" s="280"/>
      <c r="U143" s="155"/>
      <c r="V143" s="155"/>
      <c r="W143" s="261"/>
      <c r="X143" s="263"/>
      <c r="Y143" s="152"/>
      <c r="Z143" s="270"/>
      <c r="AA143" s="271"/>
      <c r="AB143" s="153"/>
      <c r="AC143" s="91"/>
      <c r="AD143" s="149"/>
      <c r="AE143" s="90"/>
      <c r="AF143" s="149"/>
      <c r="AG143" s="261"/>
      <c r="AH143" s="263"/>
      <c r="AI143" s="261"/>
      <c r="AJ143" s="263"/>
      <c r="AK143" s="261"/>
      <c r="AL143" s="262"/>
      <c r="AM143" s="263"/>
      <c r="AN143" s="261"/>
      <c r="AO143" s="271"/>
    </row>
    <row r="144" spans="1:41" ht="16.149999999999999" hidden="1" customHeight="1">
      <c r="A144" s="216"/>
      <c r="B144" s="225"/>
      <c r="C144" s="272"/>
      <c r="D144" s="273"/>
      <c r="E144" s="273"/>
      <c r="F144" s="273"/>
      <c r="G144" s="273"/>
      <c r="H144" s="274"/>
      <c r="I144" s="264"/>
      <c r="J144" s="275"/>
      <c r="K144" s="151"/>
      <c r="L144" s="194"/>
      <c r="M144" s="240"/>
      <c r="N144" s="241"/>
      <c r="O144" s="150"/>
      <c r="P144" s="154"/>
      <c r="Q144" s="281"/>
      <c r="R144" s="282"/>
      <c r="S144" s="279"/>
      <c r="T144" s="280"/>
      <c r="U144" s="155"/>
      <c r="V144" s="155"/>
      <c r="W144" s="261"/>
      <c r="X144" s="263"/>
      <c r="Y144" s="152"/>
      <c r="Z144" s="270"/>
      <c r="AA144" s="271"/>
      <c r="AB144" s="153"/>
      <c r="AC144" s="91"/>
      <c r="AD144" s="149"/>
      <c r="AE144" s="90"/>
      <c r="AF144" s="149"/>
      <c r="AG144" s="261"/>
      <c r="AH144" s="263"/>
      <c r="AI144" s="261"/>
      <c r="AJ144" s="263"/>
      <c r="AK144" s="261"/>
      <c r="AL144" s="262"/>
      <c r="AM144" s="263"/>
      <c r="AN144" s="261"/>
      <c r="AO144" s="271"/>
    </row>
    <row r="145" spans="1:41" ht="16.149999999999999" hidden="1" customHeight="1">
      <c r="A145" s="216"/>
      <c r="B145" s="225"/>
      <c r="C145" s="272"/>
      <c r="D145" s="273"/>
      <c r="E145" s="273"/>
      <c r="F145" s="273"/>
      <c r="G145" s="273"/>
      <c r="H145" s="274"/>
      <c r="I145" s="264"/>
      <c r="J145" s="275"/>
      <c r="K145" s="151"/>
      <c r="L145" s="194"/>
      <c r="M145" s="240"/>
      <c r="N145" s="241"/>
      <c r="O145" s="150"/>
      <c r="P145" s="154"/>
      <c r="Q145" s="281"/>
      <c r="R145" s="282"/>
      <c r="S145" s="279"/>
      <c r="T145" s="280"/>
      <c r="U145" s="155"/>
      <c r="V145" s="155"/>
      <c r="W145" s="261"/>
      <c r="X145" s="263"/>
      <c r="Y145" s="152"/>
      <c r="Z145" s="270"/>
      <c r="AA145" s="271"/>
      <c r="AB145" s="153"/>
      <c r="AC145" s="91"/>
      <c r="AD145" s="149"/>
      <c r="AE145" s="90"/>
      <c r="AF145" s="149"/>
      <c r="AG145" s="261"/>
      <c r="AH145" s="263"/>
      <c r="AI145" s="261"/>
      <c r="AJ145" s="263"/>
      <c r="AK145" s="261"/>
      <c r="AL145" s="262"/>
      <c r="AM145" s="263"/>
      <c r="AN145" s="261"/>
      <c r="AO145" s="271"/>
    </row>
    <row r="146" spans="1:41" ht="16.149999999999999" hidden="1" customHeight="1">
      <c r="A146" s="216"/>
      <c r="B146" s="225"/>
      <c r="C146" s="272"/>
      <c r="D146" s="273"/>
      <c r="E146" s="273"/>
      <c r="F146" s="273"/>
      <c r="G146" s="273"/>
      <c r="H146" s="274"/>
      <c r="I146" s="264"/>
      <c r="J146" s="275"/>
      <c r="K146" s="151"/>
      <c r="L146" s="194"/>
      <c r="M146" s="240"/>
      <c r="N146" s="241"/>
      <c r="O146" s="150"/>
      <c r="P146" s="154"/>
      <c r="Q146" s="281"/>
      <c r="R146" s="282"/>
      <c r="S146" s="279"/>
      <c r="T146" s="280"/>
      <c r="U146" s="155"/>
      <c r="V146" s="155"/>
      <c r="W146" s="261"/>
      <c r="X146" s="263"/>
      <c r="Y146" s="152"/>
      <c r="Z146" s="270"/>
      <c r="AA146" s="271"/>
      <c r="AB146" s="153"/>
      <c r="AC146" s="91"/>
      <c r="AD146" s="149"/>
      <c r="AE146" s="90"/>
      <c r="AF146" s="149"/>
      <c r="AG146" s="261"/>
      <c r="AH146" s="263"/>
      <c r="AI146" s="261"/>
      <c r="AJ146" s="263"/>
      <c r="AK146" s="261"/>
      <c r="AL146" s="262"/>
      <c r="AM146" s="263"/>
      <c r="AN146" s="261"/>
      <c r="AO146" s="271"/>
    </row>
    <row r="147" spans="1:41" ht="16.149999999999999" hidden="1" customHeight="1">
      <c r="A147" s="216"/>
      <c r="B147" s="198"/>
      <c r="C147" s="272"/>
      <c r="D147" s="273"/>
      <c r="E147" s="273"/>
      <c r="F147" s="273"/>
      <c r="G147" s="273"/>
      <c r="H147" s="274"/>
      <c r="I147" s="264"/>
      <c r="J147" s="275"/>
      <c r="K147" s="151"/>
      <c r="L147" s="194"/>
      <c r="M147" s="240"/>
      <c r="N147" s="241"/>
      <c r="O147" s="150"/>
      <c r="P147" s="154"/>
      <c r="Q147" s="281"/>
      <c r="R147" s="282"/>
      <c r="S147" s="279"/>
      <c r="T147" s="280"/>
      <c r="U147" s="155"/>
      <c r="V147" s="155"/>
      <c r="W147" s="261"/>
      <c r="X147" s="263"/>
      <c r="Y147" s="152"/>
      <c r="Z147" s="270"/>
      <c r="AA147" s="271"/>
      <c r="AB147" s="153"/>
      <c r="AC147" s="91"/>
      <c r="AD147" s="149"/>
      <c r="AE147" s="90"/>
      <c r="AF147" s="149"/>
      <c r="AG147" s="261"/>
      <c r="AH147" s="263"/>
      <c r="AI147" s="261"/>
      <c r="AJ147" s="263"/>
      <c r="AK147" s="261"/>
      <c r="AL147" s="262"/>
      <c r="AM147" s="263"/>
      <c r="AN147" s="261"/>
      <c r="AO147" s="271"/>
    </row>
    <row r="148" spans="1:41" ht="16.149999999999999" hidden="1" customHeight="1">
      <c r="A148" s="217"/>
      <c r="B148" s="204"/>
      <c r="C148" s="272"/>
      <c r="D148" s="273"/>
      <c r="E148" s="273"/>
      <c r="F148" s="273"/>
      <c r="G148" s="273"/>
      <c r="H148" s="274"/>
      <c r="I148" s="264"/>
      <c r="J148" s="275"/>
      <c r="K148" s="151"/>
      <c r="L148" s="194"/>
      <c r="M148" s="240"/>
      <c r="N148" s="241"/>
      <c r="O148" s="150"/>
      <c r="P148" s="154"/>
      <c r="Q148" s="281"/>
      <c r="R148" s="282"/>
      <c r="S148" s="279"/>
      <c r="T148" s="280"/>
      <c r="U148" s="155"/>
      <c r="V148" s="155"/>
      <c r="W148" s="261"/>
      <c r="X148" s="263"/>
      <c r="Y148" s="152"/>
      <c r="Z148" s="270"/>
      <c r="AA148" s="271"/>
      <c r="AB148" s="153"/>
      <c r="AC148" s="91"/>
      <c r="AD148" s="149"/>
      <c r="AE148" s="90"/>
      <c r="AF148" s="149"/>
      <c r="AG148" s="261"/>
      <c r="AH148" s="263"/>
      <c r="AI148" s="261"/>
      <c r="AJ148" s="263"/>
      <c r="AK148" s="261"/>
      <c r="AL148" s="262"/>
      <c r="AM148" s="263"/>
      <c r="AN148" s="261"/>
      <c r="AO148" s="271"/>
    </row>
    <row r="149" spans="1:41" ht="16.149999999999999" hidden="1" customHeight="1">
      <c r="A149" s="217"/>
      <c r="B149" s="204"/>
      <c r="C149" s="272"/>
      <c r="D149" s="273"/>
      <c r="E149" s="273"/>
      <c r="F149" s="273"/>
      <c r="G149" s="273"/>
      <c r="H149" s="274"/>
      <c r="I149" s="264"/>
      <c r="J149" s="275"/>
      <c r="K149" s="151"/>
      <c r="L149" s="194"/>
      <c r="M149" s="240"/>
      <c r="N149" s="241"/>
      <c r="O149" s="150"/>
      <c r="P149" s="154"/>
      <c r="Q149" s="281"/>
      <c r="R149" s="282"/>
      <c r="S149" s="279"/>
      <c r="T149" s="280"/>
      <c r="U149" s="155"/>
      <c r="V149" s="155"/>
      <c r="W149" s="261"/>
      <c r="X149" s="263"/>
      <c r="Y149" s="152"/>
      <c r="Z149" s="270"/>
      <c r="AA149" s="271"/>
      <c r="AB149" s="153"/>
      <c r="AC149" s="91"/>
      <c r="AD149" s="149"/>
      <c r="AE149" s="90"/>
      <c r="AF149" s="149"/>
      <c r="AG149" s="261"/>
      <c r="AH149" s="263"/>
      <c r="AI149" s="261"/>
      <c r="AJ149" s="263"/>
      <c r="AK149" s="261"/>
      <c r="AL149" s="262"/>
      <c r="AM149" s="263"/>
      <c r="AN149" s="261"/>
      <c r="AO149" s="271"/>
    </row>
    <row r="150" spans="1:41" ht="16.5" hidden="1" customHeight="1">
      <c r="A150" s="217"/>
      <c r="B150" s="204"/>
      <c r="C150" s="272"/>
      <c r="D150" s="273"/>
      <c r="E150" s="273"/>
      <c r="F150" s="273"/>
      <c r="G150" s="273"/>
      <c r="H150" s="274"/>
      <c r="I150" s="264"/>
      <c r="J150" s="275"/>
      <c r="K150" s="151"/>
      <c r="L150" s="224"/>
      <c r="M150" s="240"/>
      <c r="N150" s="241"/>
      <c r="O150" s="150"/>
      <c r="P150" s="154"/>
      <c r="Q150" s="281"/>
      <c r="R150" s="282"/>
      <c r="S150" s="279"/>
      <c r="T150" s="280"/>
      <c r="U150" s="155"/>
      <c r="V150" s="155"/>
      <c r="W150" s="261"/>
      <c r="X150" s="263"/>
      <c r="Y150" s="152"/>
      <c r="Z150" s="270"/>
      <c r="AA150" s="271"/>
      <c r="AB150" s="153"/>
      <c r="AC150" s="91"/>
      <c r="AD150" s="149"/>
      <c r="AE150" s="90"/>
      <c r="AF150" s="149"/>
      <c r="AG150" s="261"/>
      <c r="AH150" s="263"/>
      <c r="AI150" s="261"/>
      <c r="AJ150" s="263"/>
      <c r="AK150" s="261"/>
      <c r="AL150" s="262"/>
      <c r="AM150" s="263"/>
      <c r="AN150" s="261"/>
      <c r="AO150" s="271"/>
    </row>
    <row r="151" spans="1:41" ht="16.5" hidden="1" customHeight="1">
      <c r="A151" s="216"/>
      <c r="B151" s="204"/>
      <c r="C151" s="272"/>
      <c r="D151" s="273"/>
      <c r="E151" s="273"/>
      <c r="F151" s="273"/>
      <c r="G151" s="273"/>
      <c r="H151" s="274"/>
      <c r="I151" s="264"/>
      <c r="J151" s="275"/>
      <c r="K151" s="151"/>
      <c r="L151" s="224"/>
      <c r="M151" s="240"/>
      <c r="N151" s="241"/>
      <c r="O151" s="150"/>
      <c r="P151" s="154"/>
      <c r="Q151" s="281"/>
      <c r="R151" s="282"/>
      <c r="S151" s="279"/>
      <c r="T151" s="280"/>
      <c r="U151" s="156"/>
      <c r="V151" s="155"/>
      <c r="W151" s="261"/>
      <c r="X151" s="263"/>
      <c r="Y151" s="152"/>
      <c r="Z151" s="270"/>
      <c r="AA151" s="271"/>
      <c r="AB151" s="153"/>
      <c r="AC151" s="91"/>
      <c r="AD151" s="149"/>
      <c r="AE151" s="90"/>
      <c r="AF151" s="149"/>
      <c r="AG151" s="261"/>
      <c r="AH151" s="263"/>
      <c r="AI151" s="261"/>
      <c r="AJ151" s="263"/>
      <c r="AK151" s="261"/>
      <c r="AL151" s="262"/>
      <c r="AM151" s="263"/>
      <c r="AN151" s="261"/>
      <c r="AO151" s="271"/>
    </row>
    <row r="152" spans="1:41" ht="16.5" hidden="1" customHeight="1">
      <c r="A152" s="216"/>
      <c r="B152" s="204"/>
      <c r="C152" s="272"/>
      <c r="D152" s="273"/>
      <c r="E152" s="273"/>
      <c r="F152" s="273"/>
      <c r="G152" s="273"/>
      <c r="H152" s="274"/>
      <c r="I152" s="264"/>
      <c r="J152" s="275"/>
      <c r="K152" s="151"/>
      <c r="L152" s="224"/>
      <c r="M152" s="240"/>
      <c r="N152" s="241"/>
      <c r="O152" s="150"/>
      <c r="P152" s="154"/>
      <c r="Q152" s="281"/>
      <c r="R152" s="282"/>
      <c r="S152" s="279"/>
      <c r="T152" s="280"/>
      <c r="U152" s="156"/>
      <c r="V152" s="155"/>
      <c r="W152" s="261"/>
      <c r="X152" s="263"/>
      <c r="Y152" s="152"/>
      <c r="Z152" s="270"/>
      <c r="AA152" s="271"/>
      <c r="AB152" s="153"/>
      <c r="AC152" s="91"/>
      <c r="AD152" s="149"/>
      <c r="AE152" s="90"/>
      <c r="AF152" s="149"/>
      <c r="AG152" s="261"/>
      <c r="AH152" s="263"/>
      <c r="AI152" s="261"/>
      <c r="AJ152" s="263"/>
      <c r="AK152" s="261"/>
      <c r="AL152" s="262"/>
      <c r="AM152" s="263"/>
      <c r="AN152" s="261"/>
      <c r="AO152" s="271"/>
    </row>
    <row r="153" spans="1:41" ht="11.25" hidden="1" customHeight="1">
      <c r="A153" s="160"/>
      <c r="B153" s="198"/>
      <c r="C153" s="92"/>
      <c r="D153" s="92"/>
      <c r="E153" s="92"/>
      <c r="F153" s="92"/>
      <c r="G153" s="92"/>
      <c r="H153" s="92"/>
      <c r="I153" s="92"/>
      <c r="J153" s="92"/>
      <c r="K153" s="26"/>
      <c r="L153" s="59"/>
      <c r="M153" s="59"/>
      <c r="N153" s="59"/>
      <c r="O153" s="93"/>
      <c r="P153" s="93"/>
      <c r="Q153" s="59"/>
      <c r="R153" s="59"/>
      <c r="S153" s="59"/>
      <c r="T153" s="59"/>
      <c r="U153" s="61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  <c r="AO153" s="138"/>
    </row>
    <row r="154" spans="1:41" ht="18" hidden="1" customHeight="1">
      <c r="A154" s="144"/>
      <c r="B154" s="205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9"/>
      <c r="P154" s="9"/>
      <c r="Q154" s="8"/>
      <c r="R154" s="8"/>
      <c r="S154" s="8"/>
      <c r="T154" s="8"/>
      <c r="U154" s="10"/>
      <c r="V154" s="94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110"/>
    </row>
    <row r="155" spans="1:41" ht="7.15" hidden="1" customHeight="1">
      <c r="A155" s="111"/>
      <c r="U155" s="13"/>
      <c r="AO155" s="79"/>
    </row>
    <row r="156" spans="1:41" hidden="1">
      <c r="A156" s="111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7"/>
      <c r="U156" s="13"/>
      <c r="W156" s="268"/>
      <c r="X156" s="268"/>
      <c r="Y156" s="268"/>
      <c r="Z156" s="268"/>
      <c r="AA156" s="268"/>
      <c r="AB156" s="268"/>
      <c r="AC156" s="268"/>
      <c r="AD156" s="268"/>
      <c r="AE156" s="268"/>
      <c r="AF156" s="268"/>
      <c r="AG156" s="268"/>
      <c r="AH156" s="268"/>
      <c r="AI156" s="268"/>
      <c r="AJ156" s="268"/>
      <c r="AK156" s="268"/>
      <c r="AL156" s="95"/>
      <c r="AM156" s="7"/>
      <c r="AN156" s="95"/>
      <c r="AO156" s="79"/>
    </row>
    <row r="157" spans="1:41" ht="7.15" hidden="1" customHeight="1">
      <c r="A157" s="111"/>
      <c r="S157" s="29"/>
      <c r="U157" s="13"/>
      <c r="AO157" s="145"/>
    </row>
    <row r="158" spans="1:41" hidden="1">
      <c r="A158" s="111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7"/>
      <c r="U158" s="96"/>
      <c r="W158" s="268"/>
      <c r="X158" s="268"/>
      <c r="Y158" s="268"/>
      <c r="Z158" s="268"/>
      <c r="AA158" s="268"/>
      <c r="AB158" s="268"/>
      <c r="AC158" s="268"/>
      <c r="AD158" s="268"/>
      <c r="AE158" s="268"/>
      <c r="AF158" s="268"/>
      <c r="AG158" s="268"/>
      <c r="AH158" s="268"/>
      <c r="AI158" s="268"/>
      <c r="AJ158" s="268"/>
      <c r="AK158" s="268"/>
      <c r="AL158" s="95"/>
      <c r="AM158" s="7"/>
      <c r="AN158" s="95"/>
      <c r="AO158" s="79"/>
    </row>
    <row r="159" spans="1:41" ht="7.15" hidden="1" customHeight="1">
      <c r="A159" s="111"/>
      <c r="U159" s="13"/>
      <c r="AO159" s="79"/>
    </row>
    <row r="160" spans="1:41" hidden="1">
      <c r="A160" s="111"/>
      <c r="C160" s="288"/>
      <c r="D160" s="288"/>
      <c r="E160" s="288"/>
      <c r="F160" s="288"/>
      <c r="I160" s="289"/>
      <c r="J160" s="289"/>
      <c r="K160" s="289"/>
      <c r="O160" s="97"/>
      <c r="P160" s="97"/>
      <c r="Q160" s="98"/>
      <c r="R160" s="98"/>
      <c r="S160" s="98"/>
      <c r="T160" s="98"/>
      <c r="U160" s="13"/>
      <c r="X160" s="99"/>
      <c r="Y160" s="100"/>
      <c r="AA160" s="100"/>
      <c r="AB160" s="290"/>
      <c r="AC160" s="290"/>
      <c r="AD160" s="101"/>
      <c r="AE160" s="101"/>
      <c r="AG160" s="101"/>
      <c r="AI160" s="98"/>
      <c r="AJ160" s="98"/>
      <c r="AK160" s="98"/>
      <c r="AL160" s="98"/>
      <c r="AM160" s="98"/>
      <c r="AN160" s="98"/>
      <c r="AO160" s="79"/>
    </row>
    <row r="161" spans="1:41" ht="22.5" hidden="1" customHeight="1">
      <c r="A161" s="146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7"/>
      <c r="P161" s="97"/>
      <c r="Q161" s="98"/>
      <c r="R161" s="98"/>
      <c r="S161" s="98"/>
      <c r="T161" s="98"/>
      <c r="U161" s="147"/>
      <c r="V161" s="98"/>
      <c r="W161" s="98"/>
      <c r="X161" s="98"/>
      <c r="Y161" s="98"/>
      <c r="Z161" s="98"/>
      <c r="AA161" s="98"/>
      <c r="AB161" s="98"/>
      <c r="AC161" s="98"/>
      <c r="AD161" s="98"/>
      <c r="AE161" s="98"/>
      <c r="AF161" s="98"/>
      <c r="AG161" s="98"/>
      <c r="AH161" s="98"/>
      <c r="AI161" s="98"/>
      <c r="AJ161" s="98"/>
      <c r="AK161" s="98"/>
      <c r="AL161" s="98"/>
      <c r="AM161" s="98"/>
      <c r="AN161" s="98"/>
      <c r="AO161" s="148"/>
    </row>
    <row r="162" spans="1:41" ht="19.5" hidden="1" customHeight="1">
      <c r="A162" s="214"/>
      <c r="O162" s="58"/>
      <c r="Y162" s="340"/>
      <c r="Z162" s="340"/>
      <c r="AA162" s="340"/>
      <c r="AB162" s="340"/>
      <c r="AC162" s="340"/>
      <c r="AD162" s="340"/>
      <c r="AE162" s="340"/>
      <c r="AF162" s="340"/>
      <c r="AG162" s="340"/>
      <c r="AH162" s="340"/>
      <c r="AI162" s="340"/>
      <c r="AJ162" s="340"/>
      <c r="AK162" s="340"/>
      <c r="AL162" s="340"/>
      <c r="AM162" s="340"/>
      <c r="AN162" s="340"/>
      <c r="AO162" s="340"/>
    </row>
    <row r="163" spans="1:41" ht="12.75" hidden="1" customHeight="1">
      <c r="A163" s="131"/>
      <c r="B163" s="132"/>
      <c r="C163" s="132"/>
      <c r="D163" s="132"/>
      <c r="E163" s="132"/>
      <c r="F163" s="132"/>
      <c r="G163" s="132"/>
      <c r="H163" s="132"/>
      <c r="I163" s="132"/>
      <c r="J163" s="132"/>
      <c r="K163" s="132"/>
      <c r="L163" s="132"/>
      <c r="M163" s="132"/>
      <c r="N163" s="132"/>
      <c r="O163" s="133"/>
      <c r="P163" s="133"/>
      <c r="Q163" s="132"/>
      <c r="R163" s="132"/>
      <c r="S163" s="132"/>
      <c r="T163" s="132"/>
      <c r="U163" s="132"/>
      <c r="V163" s="132"/>
      <c r="W163" s="132"/>
      <c r="X163" s="132"/>
      <c r="Y163" s="134"/>
      <c r="Z163" s="132"/>
      <c r="AA163" s="132"/>
      <c r="AB163" s="132"/>
      <c r="AC163" s="132"/>
      <c r="AD163" s="132"/>
      <c r="AE163" s="132"/>
      <c r="AF163" s="132"/>
      <c r="AG163" s="132"/>
      <c r="AH163" s="132"/>
      <c r="AI163" s="132"/>
      <c r="AJ163" s="132"/>
      <c r="AK163" s="132"/>
      <c r="AL163" s="132"/>
      <c r="AM163" s="132"/>
      <c r="AN163" s="132"/>
      <c r="AO163" s="135"/>
    </row>
    <row r="164" spans="1:41" ht="18" hidden="1" customHeight="1">
      <c r="A164" s="136"/>
      <c r="B164" s="201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12"/>
      <c r="T164" s="12"/>
      <c r="U164" s="12"/>
      <c r="AG164" s="285"/>
      <c r="AH164" s="285"/>
      <c r="AI164" s="2"/>
      <c r="AJ164" s="2"/>
      <c r="AK164" s="2"/>
      <c r="AO164" s="79"/>
    </row>
    <row r="165" spans="1:41" ht="16.149999999999999" hidden="1" customHeight="1">
      <c r="A165" s="112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5"/>
      <c r="P165" s="15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37"/>
    </row>
    <row r="166" spans="1:41" s="6" customFormat="1" ht="16.149999999999999" hidden="1" customHeight="1">
      <c r="A166" s="193"/>
      <c r="B166" s="202"/>
      <c r="C166" s="59"/>
      <c r="D166" s="59"/>
      <c r="E166" s="59"/>
      <c r="F166" s="59"/>
      <c r="G166" s="59"/>
      <c r="H166" s="59"/>
      <c r="I166" s="59"/>
      <c r="J166" s="59"/>
      <c r="K166" s="337"/>
      <c r="L166" s="337"/>
      <c r="M166" s="337"/>
      <c r="N166" s="337"/>
      <c r="O166" s="337"/>
      <c r="P166" s="337"/>
      <c r="Q166" s="337"/>
      <c r="R166" s="337"/>
      <c r="S166" s="337"/>
      <c r="T166" s="337"/>
      <c r="U166" s="59"/>
      <c r="V166" s="338"/>
      <c r="W166" s="339"/>
      <c r="X166" s="339"/>
      <c r="Y166" s="337"/>
      <c r="Z166" s="337"/>
      <c r="AA166" s="337"/>
      <c r="AB166" s="337"/>
      <c r="AC166" s="337"/>
      <c r="AD166" s="337"/>
      <c r="AE166" s="337"/>
      <c r="AF166" s="337"/>
      <c r="AG166" s="337"/>
      <c r="AH166" s="60"/>
      <c r="AI166" s="60"/>
      <c r="AJ166" s="59"/>
      <c r="AK166" s="59"/>
      <c r="AL166" s="59"/>
      <c r="AM166" s="59"/>
      <c r="AN166" s="59"/>
      <c r="AO166" s="138"/>
    </row>
    <row r="167" spans="1:41" s="6" customFormat="1" ht="16.149999999999999" hidden="1" customHeight="1">
      <c r="A167" s="139"/>
      <c r="B167" s="203"/>
      <c r="C167" s="309"/>
      <c r="D167" s="309"/>
      <c r="E167" s="309"/>
      <c r="F167" s="309"/>
      <c r="G167" s="62"/>
      <c r="H167" s="63"/>
      <c r="I167" s="310"/>
      <c r="J167" s="310"/>
      <c r="K167" s="310"/>
      <c r="L167" s="310"/>
      <c r="M167" s="310"/>
      <c r="N167" s="310"/>
      <c r="O167" s="64"/>
      <c r="P167" s="65"/>
      <c r="Q167" s="309"/>
      <c r="R167" s="309"/>
      <c r="S167" s="309"/>
      <c r="T167" s="309"/>
      <c r="U167" s="309"/>
      <c r="V167" s="311"/>
      <c r="W167" s="311"/>
      <c r="X167" s="312"/>
      <c r="Y167" s="313"/>
      <c r="Z167" s="314"/>
      <c r="AA167" s="315"/>
      <c r="AB167" s="320"/>
      <c r="AC167" s="321"/>
      <c r="AD167" s="323"/>
      <c r="AE167" s="323"/>
      <c r="AF167" s="323"/>
      <c r="AG167" s="323"/>
      <c r="AH167" s="323"/>
      <c r="AI167" s="323"/>
      <c r="AJ167" s="323"/>
      <c r="AK167" s="323"/>
      <c r="AL167" s="323"/>
      <c r="AM167" s="323"/>
      <c r="AN167" s="305"/>
      <c r="AO167" s="306"/>
    </row>
    <row r="168" spans="1:41" s="6" customFormat="1" ht="15" hidden="1" customHeight="1">
      <c r="A168" s="140"/>
      <c r="B168" s="196"/>
      <c r="C168" s="308"/>
      <c r="D168" s="308"/>
      <c r="E168" s="308"/>
      <c r="F168" s="308"/>
      <c r="G168" s="308"/>
      <c r="H168" s="308"/>
      <c r="I168" s="296"/>
      <c r="J168" s="296"/>
      <c r="K168" s="318"/>
      <c r="L168" s="319"/>
      <c r="M168" s="319"/>
      <c r="N168" s="319"/>
      <c r="O168" s="66"/>
      <c r="P168" s="67"/>
      <c r="Q168" s="319"/>
      <c r="R168" s="308"/>
      <c r="S168" s="296"/>
      <c r="T168" s="296"/>
      <c r="U168" s="68"/>
      <c r="V168" s="69"/>
      <c r="W168" s="308"/>
      <c r="X168" s="308"/>
      <c r="Y168" s="70"/>
      <c r="Z168" s="316"/>
      <c r="AA168" s="317"/>
      <c r="AB168" s="320"/>
      <c r="AC168" s="321"/>
      <c r="AD168" s="71"/>
      <c r="AE168" s="174"/>
      <c r="AF168" s="174"/>
      <c r="AG168" s="296"/>
      <c r="AH168" s="296"/>
      <c r="AI168" s="307"/>
      <c r="AJ168" s="307"/>
      <c r="AK168" s="308"/>
      <c r="AL168" s="308"/>
      <c r="AM168" s="308"/>
      <c r="AN168" s="305"/>
      <c r="AO168" s="306"/>
    </row>
    <row r="169" spans="1:41" ht="14.25" hidden="1" customHeight="1">
      <c r="A169" s="141"/>
      <c r="B169" s="210"/>
      <c r="C169" s="72"/>
      <c r="D169" s="72"/>
      <c r="E169" s="72"/>
      <c r="F169" s="72"/>
      <c r="G169" s="72"/>
      <c r="H169" s="73"/>
      <c r="I169" s="48"/>
      <c r="J169" s="49"/>
      <c r="K169" s="319"/>
      <c r="L169" s="319"/>
      <c r="M169" s="319"/>
      <c r="N169" s="324"/>
      <c r="O169" s="74"/>
      <c r="P169" s="75"/>
      <c r="Q169" s="325"/>
      <c r="R169" s="308"/>
      <c r="S169" s="6"/>
      <c r="T169" s="6"/>
      <c r="U169" s="76"/>
      <c r="V169" s="77"/>
      <c r="W169" s="326"/>
      <c r="X169" s="327"/>
      <c r="Y169" s="78"/>
      <c r="Z169" s="328"/>
      <c r="AA169" s="329"/>
      <c r="AB169" s="320"/>
      <c r="AC169" s="321"/>
      <c r="AD169" s="81"/>
      <c r="AE169" s="175"/>
      <c r="AF169" s="6"/>
      <c r="AG169" s="330"/>
      <c r="AH169" s="330"/>
      <c r="AI169" s="296"/>
      <c r="AJ169" s="296"/>
      <c r="AK169" s="6"/>
      <c r="AL169" s="6"/>
      <c r="AM169" s="6"/>
      <c r="AN169" s="305"/>
      <c r="AO169" s="306"/>
    </row>
    <row r="170" spans="1:41" ht="16.149999999999999" hidden="1" customHeight="1">
      <c r="A170" s="141"/>
      <c r="B170" s="210"/>
      <c r="C170" s="72"/>
      <c r="D170" s="72"/>
      <c r="E170" s="72"/>
      <c r="F170" s="72"/>
      <c r="G170" s="212"/>
      <c r="H170" s="73"/>
      <c r="J170" s="79"/>
      <c r="K170" s="319"/>
      <c r="L170" s="319"/>
      <c r="M170" s="319"/>
      <c r="N170" s="324"/>
      <c r="O170" s="74"/>
      <c r="P170" s="75"/>
      <c r="Q170" s="325"/>
      <c r="R170" s="308"/>
      <c r="S170" s="331"/>
      <c r="T170" s="327"/>
      <c r="U170" s="80"/>
      <c r="V170" s="81"/>
      <c r="W170" s="332"/>
      <c r="X170" s="333"/>
      <c r="Y170" s="82"/>
      <c r="Z170" s="334"/>
      <c r="AA170" s="335"/>
      <c r="AB170" s="83"/>
      <c r="AC170" s="321"/>
      <c r="AD170" s="176"/>
      <c r="AE170" s="84"/>
      <c r="AF170" s="176"/>
      <c r="AG170" s="336"/>
      <c r="AH170" s="336"/>
      <c r="AI170" s="296"/>
      <c r="AJ170" s="296"/>
      <c r="AK170" s="308"/>
      <c r="AL170" s="308"/>
      <c r="AM170" s="308"/>
      <c r="AN170" s="305"/>
      <c r="AO170" s="306"/>
    </row>
    <row r="171" spans="1:41" ht="16.149999999999999" hidden="1" customHeight="1">
      <c r="A171" s="142"/>
      <c r="B171" s="211"/>
      <c r="G171" s="137"/>
      <c r="H171" s="13"/>
      <c r="J171" s="79"/>
      <c r="M171" s="300"/>
      <c r="N171" s="300"/>
      <c r="O171" s="86"/>
      <c r="P171" s="87"/>
      <c r="Q171" s="266"/>
      <c r="R171" s="267"/>
      <c r="S171" s="11"/>
      <c r="T171" s="13"/>
      <c r="U171" s="85"/>
      <c r="V171" s="85"/>
      <c r="X171" s="13"/>
      <c r="Y171" s="88"/>
      <c r="AA171" s="79"/>
      <c r="AB171" s="89"/>
      <c r="AC171" s="322"/>
      <c r="AD171" s="13"/>
      <c r="AE171" s="85"/>
      <c r="AF171" s="85"/>
      <c r="AG171" s="11"/>
      <c r="AH171" s="13"/>
      <c r="AI171" s="301"/>
      <c r="AJ171" s="302"/>
      <c r="AK171" s="53"/>
      <c r="AL171" s="53"/>
      <c r="AM171" s="49"/>
      <c r="AN171" s="303"/>
      <c r="AO171" s="304"/>
    </row>
    <row r="172" spans="1:41" ht="16.149999999999999" hidden="1" customHeight="1">
      <c r="A172" s="216"/>
      <c r="B172" s="198"/>
      <c r="C172" s="261"/>
      <c r="D172" s="262"/>
      <c r="E172" s="262"/>
      <c r="F172" s="262"/>
      <c r="G172" s="262"/>
      <c r="H172" s="263"/>
      <c r="I172" s="264"/>
      <c r="J172" s="275"/>
      <c r="K172" s="151"/>
      <c r="L172" s="194"/>
      <c r="M172" s="240"/>
      <c r="N172" s="241"/>
      <c r="O172" s="150"/>
      <c r="P172" s="154"/>
      <c r="Q172" s="298"/>
      <c r="R172" s="299"/>
      <c r="S172" s="279"/>
      <c r="T172" s="280"/>
      <c r="U172" s="155"/>
      <c r="V172" s="155"/>
      <c r="W172" s="261"/>
      <c r="X172" s="263"/>
      <c r="Y172" s="152"/>
      <c r="Z172" s="270"/>
      <c r="AA172" s="271"/>
      <c r="AB172" s="153"/>
      <c r="AC172" s="91"/>
      <c r="AD172" s="149"/>
      <c r="AE172" s="90"/>
      <c r="AF172" s="149"/>
      <c r="AG172" s="261"/>
      <c r="AH172" s="263"/>
      <c r="AI172" s="261"/>
      <c r="AJ172" s="263"/>
      <c r="AK172" s="261"/>
      <c r="AL172" s="262"/>
      <c r="AM172" s="263"/>
      <c r="AN172" s="261"/>
      <c r="AO172" s="271"/>
    </row>
    <row r="173" spans="1:41" ht="16.149999999999999" hidden="1" customHeight="1">
      <c r="A173" s="215"/>
      <c r="B173" s="225"/>
      <c r="C173" s="261"/>
      <c r="D173" s="262"/>
      <c r="E173" s="262"/>
      <c r="F173" s="262"/>
      <c r="G173" s="262"/>
      <c r="H173" s="263"/>
      <c r="I173" s="264"/>
      <c r="J173" s="275"/>
      <c r="K173" s="151"/>
      <c r="L173" s="194"/>
      <c r="M173" s="240"/>
      <c r="N173" s="241"/>
      <c r="O173" s="150"/>
      <c r="P173" s="154"/>
      <c r="Q173" s="298"/>
      <c r="R173" s="299"/>
      <c r="S173" s="279"/>
      <c r="T173" s="280"/>
      <c r="U173" s="155"/>
      <c r="V173" s="155"/>
      <c r="W173" s="261"/>
      <c r="X173" s="263"/>
      <c r="Y173" s="152"/>
      <c r="Z173" s="270"/>
      <c r="AA173" s="271"/>
      <c r="AB173" s="153"/>
      <c r="AC173" s="91"/>
      <c r="AD173" s="149"/>
      <c r="AE173" s="90"/>
      <c r="AF173" s="149"/>
      <c r="AG173" s="261"/>
      <c r="AH173" s="263"/>
      <c r="AI173" s="261"/>
      <c r="AJ173" s="263"/>
      <c r="AK173" s="261"/>
      <c r="AL173" s="262"/>
      <c r="AM173" s="263"/>
      <c r="AN173" s="261"/>
      <c r="AO173" s="271"/>
    </row>
    <row r="174" spans="1:41" ht="16.149999999999999" hidden="1" customHeight="1">
      <c r="A174" s="216"/>
      <c r="B174" s="225"/>
      <c r="C174" s="261"/>
      <c r="D174" s="262"/>
      <c r="E174" s="262"/>
      <c r="F174" s="262"/>
      <c r="G174" s="262"/>
      <c r="H174" s="263"/>
      <c r="I174" s="264"/>
      <c r="J174" s="275"/>
      <c r="K174" s="151"/>
      <c r="L174" s="224"/>
      <c r="M174" s="240"/>
      <c r="N174" s="241"/>
      <c r="O174" s="150"/>
      <c r="P174" s="154"/>
      <c r="Q174" s="298"/>
      <c r="R174" s="299"/>
      <c r="S174" s="279"/>
      <c r="T174" s="280"/>
      <c r="U174" s="155"/>
      <c r="V174" s="155"/>
      <c r="W174" s="261"/>
      <c r="X174" s="263"/>
      <c r="Y174" s="152"/>
      <c r="Z174" s="270"/>
      <c r="AA174" s="271"/>
      <c r="AB174" s="153"/>
      <c r="AC174" s="91"/>
      <c r="AD174" s="149"/>
      <c r="AE174" s="90"/>
      <c r="AF174" s="149"/>
      <c r="AG174" s="261"/>
      <c r="AH174" s="263"/>
      <c r="AI174" s="261"/>
      <c r="AJ174" s="263"/>
      <c r="AK174" s="261"/>
      <c r="AL174" s="262"/>
      <c r="AM174" s="263"/>
      <c r="AN174" s="261"/>
      <c r="AO174" s="271"/>
    </row>
    <row r="175" spans="1:41" ht="16.149999999999999" hidden="1" customHeight="1">
      <c r="A175" s="216"/>
      <c r="B175" s="225"/>
      <c r="C175" s="261"/>
      <c r="D175" s="262"/>
      <c r="E175" s="262"/>
      <c r="F175" s="262"/>
      <c r="G175" s="262"/>
      <c r="H175" s="263"/>
      <c r="I175" s="264"/>
      <c r="J175" s="275"/>
      <c r="K175" s="151"/>
      <c r="L175" s="224"/>
      <c r="M175" s="240"/>
      <c r="N175" s="241"/>
      <c r="O175" s="150"/>
      <c r="P175" s="154"/>
      <c r="Q175" s="298"/>
      <c r="R175" s="243"/>
      <c r="S175" s="279"/>
      <c r="T175" s="280"/>
      <c r="U175" s="155"/>
      <c r="V175" s="155"/>
      <c r="W175" s="261"/>
      <c r="X175" s="263"/>
      <c r="Y175" s="152"/>
      <c r="Z175" s="270"/>
      <c r="AA175" s="271"/>
      <c r="AB175" s="153"/>
      <c r="AC175" s="91"/>
      <c r="AD175" s="149"/>
      <c r="AE175" s="90"/>
      <c r="AF175" s="149"/>
      <c r="AG175" s="261"/>
      <c r="AH175" s="263"/>
      <c r="AI175" s="261"/>
      <c r="AJ175" s="263"/>
      <c r="AK175" s="261"/>
      <c r="AL175" s="262"/>
      <c r="AM175" s="263"/>
      <c r="AN175" s="261"/>
      <c r="AO175" s="271"/>
    </row>
    <row r="176" spans="1:41" ht="16.149999999999999" hidden="1" customHeight="1">
      <c r="A176" s="216"/>
      <c r="B176" s="225"/>
      <c r="C176" s="261"/>
      <c r="D176" s="262"/>
      <c r="E176" s="262"/>
      <c r="F176" s="262"/>
      <c r="G176" s="262"/>
      <c r="H176" s="263"/>
      <c r="I176" s="264"/>
      <c r="J176" s="275"/>
      <c r="K176" s="151"/>
      <c r="L176" s="224"/>
      <c r="M176" s="240"/>
      <c r="N176" s="241"/>
      <c r="O176" s="150"/>
      <c r="P176" s="154"/>
      <c r="Q176" s="298"/>
      <c r="R176" s="243"/>
      <c r="S176" s="279"/>
      <c r="T176" s="280"/>
      <c r="U176" s="155"/>
      <c r="V176" s="155"/>
      <c r="W176" s="261"/>
      <c r="X176" s="263"/>
      <c r="Y176" s="152"/>
      <c r="Z176" s="270"/>
      <c r="AA176" s="271"/>
      <c r="AB176" s="153"/>
      <c r="AC176" s="91"/>
      <c r="AD176" s="149"/>
      <c r="AE176" s="90"/>
      <c r="AF176" s="149"/>
      <c r="AG176" s="261"/>
      <c r="AH176" s="263"/>
      <c r="AI176" s="261"/>
      <c r="AJ176" s="263"/>
      <c r="AK176" s="261"/>
      <c r="AL176" s="262"/>
      <c r="AM176" s="263"/>
      <c r="AN176" s="261"/>
      <c r="AO176" s="271"/>
    </row>
    <row r="177" spans="1:41" ht="16.149999999999999" hidden="1" customHeight="1">
      <c r="A177" s="216"/>
      <c r="B177" s="225"/>
      <c r="C177" s="261"/>
      <c r="D177" s="262"/>
      <c r="E177" s="262"/>
      <c r="F177" s="262"/>
      <c r="G177" s="262"/>
      <c r="H177" s="263"/>
      <c r="I177" s="264"/>
      <c r="J177" s="275"/>
      <c r="K177" s="151"/>
      <c r="L177" s="224"/>
      <c r="M177" s="240"/>
      <c r="N177" s="241"/>
      <c r="O177" s="150"/>
      <c r="P177" s="154"/>
      <c r="Q177" s="298"/>
      <c r="R177" s="243"/>
      <c r="S177" s="279"/>
      <c r="T177" s="280"/>
      <c r="U177" s="155"/>
      <c r="V177" s="155"/>
      <c r="W177" s="261"/>
      <c r="X177" s="263"/>
      <c r="Y177" s="152"/>
      <c r="Z177" s="270"/>
      <c r="AA177" s="271"/>
      <c r="AB177" s="153"/>
      <c r="AC177" s="91"/>
      <c r="AD177" s="149"/>
      <c r="AE177" s="90"/>
      <c r="AF177" s="149"/>
      <c r="AG177" s="261"/>
      <c r="AH177" s="263"/>
      <c r="AI177" s="261"/>
      <c r="AJ177" s="263"/>
      <c r="AK177" s="261"/>
      <c r="AL177" s="262"/>
      <c r="AM177" s="263"/>
      <c r="AN177" s="261"/>
      <c r="AO177" s="271"/>
    </row>
    <row r="178" spans="1:41" ht="16.149999999999999" hidden="1" customHeight="1">
      <c r="A178" s="216"/>
      <c r="B178" s="225"/>
      <c r="C178" s="261"/>
      <c r="D178" s="262"/>
      <c r="E178" s="262"/>
      <c r="F178" s="262"/>
      <c r="G178" s="262"/>
      <c r="H178" s="263"/>
      <c r="I178" s="264"/>
      <c r="J178" s="275"/>
      <c r="K178" s="151"/>
      <c r="L178" s="224"/>
      <c r="M178" s="240"/>
      <c r="N178" s="241"/>
      <c r="O178" s="150"/>
      <c r="P178" s="154"/>
      <c r="Q178" s="298"/>
      <c r="R178" s="243"/>
      <c r="S178" s="279"/>
      <c r="T178" s="280"/>
      <c r="U178" s="155"/>
      <c r="V178" s="155"/>
      <c r="W178" s="261"/>
      <c r="X178" s="263"/>
      <c r="Y178" s="152"/>
      <c r="Z178" s="270"/>
      <c r="AA178" s="271"/>
      <c r="AB178" s="153"/>
      <c r="AC178" s="91"/>
      <c r="AD178" s="149"/>
      <c r="AE178" s="90"/>
      <c r="AF178" s="149"/>
      <c r="AG178" s="261"/>
      <c r="AH178" s="263"/>
      <c r="AI178" s="261"/>
      <c r="AJ178" s="263"/>
      <c r="AK178" s="261"/>
      <c r="AL178" s="262"/>
      <c r="AM178" s="263"/>
      <c r="AN178" s="261"/>
      <c r="AO178" s="271"/>
    </row>
    <row r="179" spans="1:41" ht="16.149999999999999" hidden="1" customHeight="1">
      <c r="A179" s="216"/>
      <c r="B179" s="225"/>
      <c r="C179" s="261"/>
      <c r="D179" s="262"/>
      <c r="E179" s="262"/>
      <c r="F179" s="262"/>
      <c r="G179" s="262"/>
      <c r="H179" s="263"/>
      <c r="I179" s="264"/>
      <c r="J179" s="275"/>
      <c r="K179" s="151"/>
      <c r="L179" s="224"/>
      <c r="M179" s="240"/>
      <c r="N179" s="241"/>
      <c r="O179" s="150"/>
      <c r="P179" s="154"/>
      <c r="Q179" s="298"/>
      <c r="R179" s="243"/>
      <c r="S179" s="279"/>
      <c r="T179" s="280"/>
      <c r="U179" s="155"/>
      <c r="V179" s="155"/>
      <c r="W179" s="261"/>
      <c r="X179" s="263"/>
      <c r="Y179" s="152"/>
      <c r="Z179" s="270"/>
      <c r="AA179" s="271"/>
      <c r="AB179" s="153"/>
      <c r="AC179" s="91"/>
      <c r="AD179" s="149"/>
      <c r="AE179" s="90"/>
      <c r="AF179" s="149"/>
      <c r="AG179" s="261"/>
      <c r="AH179" s="263"/>
      <c r="AI179" s="261"/>
      <c r="AJ179" s="263"/>
      <c r="AK179" s="261"/>
      <c r="AL179" s="262"/>
      <c r="AM179" s="263"/>
      <c r="AN179" s="261"/>
      <c r="AO179" s="271"/>
    </row>
    <row r="180" spans="1:41" ht="16.149999999999999" hidden="1" customHeight="1">
      <c r="A180" s="216"/>
      <c r="B180" s="225"/>
      <c r="C180" s="261"/>
      <c r="D180" s="262"/>
      <c r="E180" s="262"/>
      <c r="F180" s="262"/>
      <c r="G180" s="262"/>
      <c r="H180" s="263"/>
      <c r="I180" s="264"/>
      <c r="J180" s="275"/>
      <c r="K180" s="151"/>
      <c r="L180" s="224"/>
      <c r="M180" s="240"/>
      <c r="N180" s="241"/>
      <c r="O180" s="150"/>
      <c r="P180" s="154"/>
      <c r="Q180" s="298"/>
      <c r="R180" s="243"/>
      <c r="S180" s="279"/>
      <c r="T180" s="280"/>
      <c r="U180" s="155"/>
      <c r="V180" s="155"/>
      <c r="W180" s="261"/>
      <c r="X180" s="263"/>
      <c r="Y180" s="152"/>
      <c r="Z180" s="270"/>
      <c r="AA180" s="271"/>
      <c r="AB180" s="153"/>
      <c r="AC180" s="91"/>
      <c r="AD180" s="149"/>
      <c r="AE180" s="90"/>
      <c r="AF180" s="149"/>
      <c r="AG180" s="261"/>
      <c r="AH180" s="263"/>
      <c r="AI180" s="261"/>
      <c r="AJ180" s="263"/>
      <c r="AK180" s="261"/>
      <c r="AL180" s="262"/>
      <c r="AM180" s="263"/>
      <c r="AN180" s="261"/>
      <c r="AO180" s="271"/>
    </row>
    <row r="181" spans="1:41" ht="16.149999999999999" hidden="1" customHeight="1">
      <c r="A181" s="216"/>
      <c r="B181" s="198"/>
      <c r="C181" s="261"/>
      <c r="D181" s="262"/>
      <c r="E181" s="262"/>
      <c r="F181" s="262"/>
      <c r="G181" s="262"/>
      <c r="H181" s="263"/>
      <c r="I181" s="264"/>
      <c r="J181" s="275"/>
      <c r="K181" s="151"/>
      <c r="L181" s="194"/>
      <c r="M181" s="240"/>
      <c r="N181" s="241"/>
      <c r="O181" s="150"/>
      <c r="P181" s="154"/>
      <c r="Q181" s="242"/>
      <c r="R181" s="243"/>
      <c r="S181" s="279"/>
      <c r="T181" s="280"/>
      <c r="U181" s="155"/>
      <c r="V181" s="155"/>
      <c r="W181" s="261"/>
      <c r="X181" s="263"/>
      <c r="Y181" s="152"/>
      <c r="Z181" s="270"/>
      <c r="AA181" s="271"/>
      <c r="AB181" s="153"/>
      <c r="AC181" s="91"/>
      <c r="AD181" s="149"/>
      <c r="AE181" s="90"/>
      <c r="AF181" s="149"/>
      <c r="AG181" s="261"/>
      <c r="AH181" s="263"/>
      <c r="AI181" s="261"/>
      <c r="AJ181" s="263"/>
      <c r="AK181" s="261"/>
      <c r="AL181" s="262"/>
      <c r="AM181" s="263"/>
      <c r="AN181" s="261"/>
      <c r="AO181" s="271"/>
    </row>
    <row r="182" spans="1:41" ht="16.149999999999999" hidden="1" customHeight="1">
      <c r="A182" s="216"/>
      <c r="B182" s="198"/>
      <c r="C182" s="261"/>
      <c r="D182" s="262"/>
      <c r="E182" s="262"/>
      <c r="F182" s="262"/>
      <c r="G182" s="262"/>
      <c r="H182" s="263"/>
      <c r="I182" s="264"/>
      <c r="J182" s="275"/>
      <c r="K182" s="151"/>
      <c r="L182" s="194"/>
      <c r="M182" s="240"/>
      <c r="N182" s="241"/>
      <c r="O182" s="150"/>
      <c r="P182" s="154"/>
      <c r="Q182" s="242"/>
      <c r="R182" s="243"/>
      <c r="S182" s="279"/>
      <c r="T182" s="280"/>
      <c r="U182" s="155"/>
      <c r="V182" s="155"/>
      <c r="W182" s="261"/>
      <c r="X182" s="263"/>
      <c r="Y182" s="152"/>
      <c r="Z182" s="270"/>
      <c r="AA182" s="271"/>
      <c r="AB182" s="153"/>
      <c r="AC182" s="91"/>
      <c r="AD182" s="149"/>
      <c r="AE182" s="90"/>
      <c r="AF182" s="149"/>
      <c r="AG182" s="261"/>
      <c r="AH182" s="263"/>
      <c r="AI182" s="261"/>
      <c r="AJ182" s="263"/>
      <c r="AK182" s="261"/>
      <c r="AL182" s="262"/>
      <c r="AM182" s="263"/>
      <c r="AN182" s="261"/>
      <c r="AO182" s="271"/>
    </row>
    <row r="183" spans="1:41" ht="16.149999999999999" hidden="1" customHeight="1">
      <c r="A183" s="216"/>
      <c r="B183" s="198"/>
      <c r="C183" s="261"/>
      <c r="D183" s="262"/>
      <c r="E183" s="262"/>
      <c r="F183" s="262"/>
      <c r="G183" s="262"/>
      <c r="H183" s="263"/>
      <c r="I183" s="264"/>
      <c r="J183" s="275"/>
      <c r="K183" s="151"/>
      <c r="L183" s="194"/>
      <c r="M183" s="240"/>
      <c r="N183" s="241"/>
      <c r="O183" s="150"/>
      <c r="P183" s="154"/>
      <c r="Q183" s="242"/>
      <c r="R183" s="243"/>
      <c r="S183" s="279"/>
      <c r="T183" s="280"/>
      <c r="U183" s="155"/>
      <c r="V183" s="155"/>
      <c r="W183" s="261"/>
      <c r="X183" s="263"/>
      <c r="Y183" s="152"/>
      <c r="Z183" s="270"/>
      <c r="AA183" s="271"/>
      <c r="AB183" s="153"/>
      <c r="AC183" s="91"/>
      <c r="AD183" s="149"/>
      <c r="AE183" s="90"/>
      <c r="AF183" s="149"/>
      <c r="AG183" s="261"/>
      <c r="AH183" s="263"/>
      <c r="AI183" s="261"/>
      <c r="AJ183" s="263"/>
      <c r="AK183" s="261"/>
      <c r="AL183" s="262"/>
      <c r="AM183" s="263"/>
      <c r="AN183" s="261"/>
      <c r="AO183" s="271"/>
    </row>
    <row r="184" spans="1:41" ht="16.149999999999999" hidden="1" customHeight="1">
      <c r="A184" s="216"/>
      <c r="B184" s="198"/>
      <c r="C184" s="261"/>
      <c r="D184" s="262"/>
      <c r="E184" s="262"/>
      <c r="F184" s="262"/>
      <c r="G184" s="262"/>
      <c r="H184" s="263"/>
      <c r="I184" s="264"/>
      <c r="J184" s="275"/>
      <c r="K184" s="151"/>
      <c r="L184" s="194"/>
      <c r="M184" s="240"/>
      <c r="N184" s="241"/>
      <c r="O184" s="150"/>
      <c r="P184" s="154"/>
      <c r="Q184" s="242"/>
      <c r="R184" s="243"/>
      <c r="S184" s="279"/>
      <c r="T184" s="280"/>
      <c r="U184" s="155"/>
      <c r="V184" s="155"/>
      <c r="W184" s="261"/>
      <c r="X184" s="263"/>
      <c r="Y184" s="152"/>
      <c r="Z184" s="270"/>
      <c r="AA184" s="271"/>
      <c r="AB184" s="153"/>
      <c r="AC184" s="91"/>
      <c r="AD184" s="149"/>
      <c r="AE184" s="90"/>
      <c r="AF184" s="149"/>
      <c r="AG184" s="261"/>
      <c r="AH184" s="263"/>
      <c r="AI184" s="261"/>
      <c r="AJ184" s="263"/>
      <c r="AK184" s="261"/>
      <c r="AL184" s="262"/>
      <c r="AM184" s="263"/>
      <c r="AN184" s="261"/>
      <c r="AO184" s="271"/>
    </row>
    <row r="185" spans="1:41" ht="16.149999999999999" hidden="1" customHeight="1">
      <c r="A185" s="216"/>
      <c r="B185" s="198"/>
      <c r="C185" s="261"/>
      <c r="D185" s="262"/>
      <c r="E185" s="262"/>
      <c r="F185" s="262"/>
      <c r="G185" s="262"/>
      <c r="H185" s="263"/>
      <c r="I185" s="264"/>
      <c r="J185" s="275"/>
      <c r="K185" s="151"/>
      <c r="L185" s="194"/>
      <c r="M185" s="240"/>
      <c r="N185" s="241"/>
      <c r="O185" s="150"/>
      <c r="P185" s="154"/>
      <c r="Q185" s="242"/>
      <c r="R185" s="243"/>
      <c r="S185" s="279"/>
      <c r="T185" s="280"/>
      <c r="U185" s="155"/>
      <c r="V185" s="155"/>
      <c r="W185" s="261"/>
      <c r="X185" s="263"/>
      <c r="Y185" s="152"/>
      <c r="Z185" s="270"/>
      <c r="AA185" s="271"/>
      <c r="AB185" s="153"/>
      <c r="AC185" s="91"/>
      <c r="AD185" s="149"/>
      <c r="AE185" s="90"/>
      <c r="AF185" s="149"/>
      <c r="AG185" s="261"/>
      <c r="AH185" s="263"/>
      <c r="AI185" s="261"/>
      <c r="AJ185" s="263"/>
      <c r="AK185" s="261"/>
      <c r="AL185" s="262"/>
      <c r="AM185" s="263"/>
      <c r="AN185" s="261"/>
      <c r="AO185" s="271"/>
    </row>
    <row r="186" spans="1:41" ht="16.149999999999999" hidden="1" customHeight="1">
      <c r="A186" s="216"/>
      <c r="B186" s="198"/>
      <c r="C186" s="261"/>
      <c r="D186" s="262"/>
      <c r="E186" s="262"/>
      <c r="F186" s="262"/>
      <c r="G186" s="262"/>
      <c r="H186" s="263"/>
      <c r="I186" s="264"/>
      <c r="J186" s="275"/>
      <c r="K186" s="151"/>
      <c r="L186" s="194"/>
      <c r="M186" s="240"/>
      <c r="N186" s="241"/>
      <c r="O186" s="150"/>
      <c r="P186" s="154"/>
      <c r="Q186" s="242"/>
      <c r="R186" s="243"/>
      <c r="S186" s="279"/>
      <c r="T186" s="280"/>
      <c r="U186" s="155"/>
      <c r="V186" s="155"/>
      <c r="W186" s="261"/>
      <c r="X186" s="263"/>
      <c r="Y186" s="152"/>
      <c r="Z186" s="270"/>
      <c r="AA186" s="271"/>
      <c r="AB186" s="153"/>
      <c r="AC186" s="91"/>
      <c r="AD186" s="149"/>
      <c r="AE186" s="90"/>
      <c r="AF186" s="149"/>
      <c r="AG186" s="261"/>
      <c r="AH186" s="263"/>
      <c r="AI186" s="261"/>
      <c r="AJ186" s="263"/>
      <c r="AK186" s="261"/>
      <c r="AL186" s="262"/>
      <c r="AM186" s="263"/>
      <c r="AN186" s="261"/>
      <c r="AO186" s="271"/>
    </row>
    <row r="187" spans="1:41" ht="16.149999999999999" hidden="1" customHeight="1">
      <c r="A187" s="216"/>
      <c r="B187" s="198"/>
      <c r="C187" s="261"/>
      <c r="D187" s="262"/>
      <c r="E187" s="262"/>
      <c r="F187" s="262"/>
      <c r="G187" s="262"/>
      <c r="H187" s="263"/>
      <c r="I187" s="264"/>
      <c r="J187" s="275"/>
      <c r="K187" s="151"/>
      <c r="L187" s="194"/>
      <c r="M187" s="240"/>
      <c r="N187" s="241"/>
      <c r="O187" s="150"/>
      <c r="P187" s="154"/>
      <c r="Q187" s="242"/>
      <c r="R187" s="243"/>
      <c r="S187" s="279"/>
      <c r="T187" s="280"/>
      <c r="U187" s="155"/>
      <c r="V187" s="155"/>
      <c r="W187" s="261"/>
      <c r="X187" s="263"/>
      <c r="Y187" s="152"/>
      <c r="Z187" s="270"/>
      <c r="AA187" s="271"/>
      <c r="AB187" s="153"/>
      <c r="AC187" s="91"/>
      <c r="AD187" s="149"/>
      <c r="AE187" s="90"/>
      <c r="AF187" s="149"/>
      <c r="AG187" s="261"/>
      <c r="AH187" s="263"/>
      <c r="AI187" s="261"/>
      <c r="AJ187" s="263"/>
      <c r="AK187" s="261"/>
      <c r="AL187" s="262"/>
      <c r="AM187" s="263"/>
      <c r="AN187" s="261"/>
      <c r="AO187" s="271"/>
    </row>
    <row r="188" spans="1:41" ht="16.149999999999999" hidden="1" customHeight="1">
      <c r="A188" s="216"/>
      <c r="B188" s="198"/>
      <c r="C188" s="261"/>
      <c r="D188" s="262"/>
      <c r="E188" s="262"/>
      <c r="F188" s="262"/>
      <c r="G188" s="262"/>
      <c r="H188" s="263"/>
      <c r="I188" s="264"/>
      <c r="J188" s="275"/>
      <c r="K188" s="151"/>
      <c r="L188" s="194"/>
      <c r="M188" s="240"/>
      <c r="N188" s="241"/>
      <c r="O188" s="150"/>
      <c r="P188" s="154"/>
      <c r="Q188" s="242"/>
      <c r="R188" s="243"/>
      <c r="S188" s="279"/>
      <c r="T188" s="280"/>
      <c r="U188" s="155"/>
      <c r="V188" s="155"/>
      <c r="W188" s="261"/>
      <c r="X188" s="263"/>
      <c r="Y188" s="152"/>
      <c r="Z188" s="270"/>
      <c r="AA188" s="271"/>
      <c r="AB188" s="153"/>
      <c r="AC188" s="91"/>
      <c r="AD188" s="149"/>
      <c r="AE188" s="90"/>
      <c r="AF188" s="149"/>
      <c r="AG188" s="261"/>
      <c r="AH188" s="263"/>
      <c r="AI188" s="261"/>
      <c r="AJ188" s="263"/>
      <c r="AK188" s="261"/>
      <c r="AL188" s="262"/>
      <c r="AM188" s="263"/>
      <c r="AN188" s="261"/>
      <c r="AO188" s="271"/>
    </row>
    <row r="189" spans="1:41" ht="16.149999999999999" hidden="1" customHeight="1">
      <c r="A189" s="217"/>
      <c r="B189" s="204"/>
      <c r="C189" s="261"/>
      <c r="D189" s="262"/>
      <c r="E189" s="262"/>
      <c r="F189" s="262"/>
      <c r="G189" s="262"/>
      <c r="H189" s="263"/>
      <c r="I189" s="264"/>
      <c r="J189" s="275"/>
      <c r="K189" s="151"/>
      <c r="L189" s="194"/>
      <c r="M189" s="240"/>
      <c r="N189" s="241"/>
      <c r="O189" s="150"/>
      <c r="P189" s="154"/>
      <c r="Q189" s="242"/>
      <c r="R189" s="243"/>
      <c r="S189" s="279"/>
      <c r="T189" s="280"/>
      <c r="U189" s="155"/>
      <c r="V189" s="155"/>
      <c r="W189" s="261"/>
      <c r="X189" s="263"/>
      <c r="Y189" s="152"/>
      <c r="Z189" s="270"/>
      <c r="AA189" s="271"/>
      <c r="AB189" s="153"/>
      <c r="AC189" s="91"/>
      <c r="AD189" s="149"/>
      <c r="AE189" s="90"/>
      <c r="AF189" s="149"/>
      <c r="AG189" s="261"/>
      <c r="AH189" s="263"/>
      <c r="AI189" s="261"/>
      <c r="AJ189" s="263"/>
      <c r="AK189" s="261"/>
      <c r="AL189" s="262"/>
      <c r="AM189" s="263"/>
      <c r="AN189" s="261"/>
      <c r="AO189" s="271"/>
    </row>
    <row r="190" spans="1:41" ht="16.149999999999999" hidden="1" customHeight="1">
      <c r="A190" s="217"/>
      <c r="B190" s="204"/>
      <c r="C190" s="261"/>
      <c r="D190" s="262"/>
      <c r="E190" s="262"/>
      <c r="F190" s="262"/>
      <c r="G190" s="262"/>
      <c r="H190" s="263"/>
      <c r="I190" s="264"/>
      <c r="J190" s="275"/>
      <c r="K190" s="151"/>
      <c r="L190" s="194"/>
      <c r="M190" s="240"/>
      <c r="N190" s="241"/>
      <c r="O190" s="150"/>
      <c r="P190" s="154"/>
      <c r="Q190" s="242"/>
      <c r="R190" s="243"/>
      <c r="S190" s="279"/>
      <c r="T190" s="280"/>
      <c r="U190" s="155"/>
      <c r="V190" s="155"/>
      <c r="W190" s="261"/>
      <c r="X190" s="263"/>
      <c r="Y190" s="152"/>
      <c r="Z190" s="270"/>
      <c r="AA190" s="271"/>
      <c r="AB190" s="153"/>
      <c r="AC190" s="91"/>
      <c r="AD190" s="149"/>
      <c r="AE190" s="90"/>
      <c r="AF190" s="149"/>
      <c r="AG190" s="261"/>
      <c r="AH190" s="263"/>
      <c r="AI190" s="261"/>
      <c r="AJ190" s="263"/>
      <c r="AK190" s="261"/>
      <c r="AL190" s="262"/>
      <c r="AM190" s="263"/>
      <c r="AN190" s="261"/>
      <c r="AO190" s="271"/>
    </row>
    <row r="191" spans="1:41" ht="16.5" hidden="1" customHeight="1">
      <c r="A191" s="217"/>
      <c r="B191" s="204"/>
      <c r="C191" s="261"/>
      <c r="D191" s="262"/>
      <c r="E191" s="262"/>
      <c r="F191" s="262"/>
      <c r="G191" s="262"/>
      <c r="H191" s="263"/>
      <c r="I191" s="264"/>
      <c r="J191" s="275"/>
      <c r="K191" s="151"/>
      <c r="L191" s="194"/>
      <c r="M191" s="240"/>
      <c r="N191" s="241"/>
      <c r="O191" s="150"/>
      <c r="P191" s="154"/>
      <c r="Q191" s="242"/>
      <c r="R191" s="243"/>
      <c r="S191" s="279"/>
      <c r="T191" s="280"/>
      <c r="U191" s="155"/>
      <c r="V191" s="155"/>
      <c r="W191" s="261"/>
      <c r="X191" s="263"/>
      <c r="Y191" s="152"/>
      <c r="Z191" s="270"/>
      <c r="AA191" s="271"/>
      <c r="AB191" s="153"/>
      <c r="AC191" s="91"/>
      <c r="AD191" s="149"/>
      <c r="AE191" s="90"/>
      <c r="AF191" s="149"/>
      <c r="AG191" s="261"/>
      <c r="AH191" s="263"/>
      <c r="AI191" s="261"/>
      <c r="AJ191" s="263"/>
      <c r="AK191" s="261"/>
      <c r="AL191" s="262"/>
      <c r="AM191" s="263"/>
      <c r="AN191" s="261"/>
      <c r="AO191" s="271"/>
    </row>
    <row r="192" spans="1:41" ht="16.5" hidden="1" customHeight="1">
      <c r="A192" s="216"/>
      <c r="B192" s="198"/>
      <c r="C192" s="261"/>
      <c r="D192" s="262"/>
      <c r="E192" s="262"/>
      <c r="F192" s="262"/>
      <c r="G192" s="262"/>
      <c r="H192" s="263"/>
      <c r="I192" s="286"/>
      <c r="J192" s="287"/>
      <c r="K192" s="151"/>
      <c r="L192" s="194"/>
      <c r="M192" s="240"/>
      <c r="N192" s="241"/>
      <c r="O192" s="150"/>
      <c r="P192" s="154"/>
      <c r="Q192" s="242"/>
      <c r="R192" s="243"/>
      <c r="S192" s="279"/>
      <c r="T192" s="280"/>
      <c r="U192" s="156"/>
      <c r="V192" s="155"/>
      <c r="W192" s="261"/>
      <c r="X192" s="263"/>
      <c r="Y192" s="152"/>
      <c r="Z192" s="270"/>
      <c r="AA192" s="271"/>
      <c r="AB192" s="153"/>
      <c r="AC192" s="91"/>
      <c r="AD192" s="149"/>
      <c r="AE192" s="90"/>
      <c r="AF192" s="149"/>
      <c r="AG192" s="261"/>
      <c r="AH192" s="263"/>
      <c r="AI192" s="261"/>
      <c r="AJ192" s="263"/>
      <c r="AK192" s="261"/>
      <c r="AL192" s="262"/>
      <c r="AM192" s="263"/>
      <c r="AN192" s="261"/>
      <c r="AO192" s="271"/>
    </row>
    <row r="193" spans="1:41" ht="16.5" hidden="1" customHeight="1">
      <c r="A193" s="216"/>
      <c r="B193" s="198"/>
      <c r="C193" s="261"/>
      <c r="D193" s="262"/>
      <c r="E193" s="262"/>
      <c r="F193" s="262"/>
      <c r="G193" s="262"/>
      <c r="H193" s="263"/>
      <c r="I193" s="286"/>
      <c r="J193" s="287"/>
      <c r="K193" s="151"/>
      <c r="L193" s="194"/>
      <c r="M193" s="240"/>
      <c r="N193" s="241"/>
      <c r="O193" s="150"/>
      <c r="P193" s="154"/>
      <c r="Q193" s="242"/>
      <c r="R193" s="243"/>
      <c r="S193" s="279"/>
      <c r="T193" s="280"/>
      <c r="U193" s="156"/>
      <c r="V193" s="155"/>
      <c r="W193" s="261"/>
      <c r="X193" s="263"/>
      <c r="Y193" s="152"/>
      <c r="Z193" s="270"/>
      <c r="AA193" s="271"/>
      <c r="AB193" s="153"/>
      <c r="AC193" s="91"/>
      <c r="AD193" s="149"/>
      <c r="AE193" s="90"/>
      <c r="AF193" s="149"/>
      <c r="AG193" s="261"/>
      <c r="AH193" s="263"/>
      <c r="AI193" s="261"/>
      <c r="AJ193" s="263"/>
      <c r="AK193" s="261"/>
      <c r="AL193" s="262"/>
      <c r="AM193" s="263"/>
      <c r="AN193" s="261"/>
      <c r="AO193" s="271"/>
    </row>
    <row r="194" spans="1:41" ht="11.25" hidden="1" customHeight="1">
      <c r="A194" s="160"/>
      <c r="B194" s="198"/>
      <c r="C194" s="92"/>
      <c r="D194" s="92"/>
      <c r="E194" s="92"/>
      <c r="F194" s="92"/>
      <c r="G194" s="92"/>
      <c r="H194" s="92"/>
      <c r="I194" s="92"/>
      <c r="J194" s="92"/>
      <c r="K194" s="26"/>
      <c r="L194" s="59"/>
      <c r="M194" s="59"/>
      <c r="N194" s="59"/>
      <c r="O194" s="93"/>
      <c r="P194" s="93"/>
      <c r="Q194" s="59"/>
      <c r="R194" s="59"/>
      <c r="S194" s="59"/>
      <c r="T194" s="59"/>
      <c r="U194" s="61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O194" s="138"/>
    </row>
    <row r="195" spans="1:41" ht="18" hidden="1" customHeight="1">
      <c r="A195" s="144"/>
      <c r="B195" s="205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9"/>
      <c r="P195" s="9"/>
      <c r="Q195" s="8"/>
      <c r="R195" s="8"/>
      <c r="S195" s="8"/>
      <c r="T195" s="8"/>
      <c r="U195" s="10"/>
      <c r="V195" s="94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110"/>
    </row>
    <row r="196" spans="1:41" ht="7.15" hidden="1" customHeight="1">
      <c r="A196" s="111"/>
      <c r="U196" s="13"/>
      <c r="AO196" s="79"/>
    </row>
    <row r="197" spans="1:41" hidden="1">
      <c r="A197" s="111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7"/>
      <c r="U197" s="13"/>
      <c r="W197" s="268"/>
      <c r="X197" s="268"/>
      <c r="Y197" s="268"/>
      <c r="Z197" s="268"/>
      <c r="AA197" s="268"/>
      <c r="AB197" s="268"/>
      <c r="AC197" s="268"/>
      <c r="AD197" s="268"/>
      <c r="AE197" s="268"/>
      <c r="AF197" s="268"/>
      <c r="AG197" s="268"/>
      <c r="AH197" s="268"/>
      <c r="AI197" s="268"/>
      <c r="AJ197" s="268"/>
      <c r="AK197" s="268"/>
      <c r="AL197" s="95"/>
      <c r="AM197" s="7"/>
      <c r="AN197" s="95"/>
      <c r="AO197" s="79"/>
    </row>
    <row r="198" spans="1:41" ht="7.15" hidden="1" customHeight="1">
      <c r="A198" s="111"/>
      <c r="S198" s="29"/>
      <c r="U198" s="13"/>
      <c r="AO198" s="145"/>
    </row>
    <row r="199" spans="1:41" hidden="1">
      <c r="A199" s="111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7"/>
      <c r="U199" s="96"/>
      <c r="W199" s="268"/>
      <c r="X199" s="268"/>
      <c r="Y199" s="268"/>
      <c r="Z199" s="268"/>
      <c r="AA199" s="268"/>
      <c r="AB199" s="268"/>
      <c r="AC199" s="268"/>
      <c r="AD199" s="268"/>
      <c r="AE199" s="268"/>
      <c r="AF199" s="268"/>
      <c r="AG199" s="268"/>
      <c r="AH199" s="268"/>
      <c r="AI199" s="268"/>
      <c r="AJ199" s="268"/>
      <c r="AK199" s="268"/>
      <c r="AL199" s="95"/>
      <c r="AM199" s="7"/>
      <c r="AN199" s="95"/>
      <c r="AO199" s="79"/>
    </row>
    <row r="200" spans="1:41" ht="7.15" hidden="1" customHeight="1">
      <c r="A200" s="111"/>
      <c r="U200" s="13"/>
      <c r="AO200" s="79"/>
    </row>
    <row r="201" spans="1:41" hidden="1">
      <c r="A201" s="111"/>
      <c r="C201" s="288"/>
      <c r="D201" s="288"/>
      <c r="E201" s="288"/>
      <c r="F201" s="288"/>
      <c r="I201" s="289"/>
      <c r="J201" s="289"/>
      <c r="K201" s="289"/>
      <c r="O201" s="97"/>
      <c r="P201" s="97"/>
      <c r="Q201" s="98"/>
      <c r="R201" s="98"/>
      <c r="S201" s="98"/>
      <c r="T201" s="98"/>
      <c r="U201" s="13"/>
      <c r="X201" s="99"/>
      <c r="Y201" s="100"/>
      <c r="AA201" s="100"/>
      <c r="AB201" s="290"/>
      <c r="AC201" s="290"/>
      <c r="AD201" s="101"/>
      <c r="AE201" s="101"/>
      <c r="AG201" s="101"/>
      <c r="AI201" s="98"/>
      <c r="AJ201" s="98"/>
      <c r="AK201" s="98"/>
      <c r="AL201" s="98"/>
      <c r="AM201" s="98"/>
      <c r="AN201" s="98"/>
      <c r="AO201" s="79"/>
    </row>
    <row r="202" spans="1:41" ht="22.5" hidden="1" customHeight="1">
      <c r="A202" s="146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7"/>
      <c r="P202" s="97"/>
      <c r="Q202" s="98"/>
      <c r="R202" s="98"/>
      <c r="S202" s="98"/>
      <c r="T202" s="98"/>
      <c r="U202" s="147"/>
      <c r="V202" s="98"/>
      <c r="W202" s="98"/>
      <c r="X202" s="98"/>
      <c r="Y202" s="98"/>
      <c r="Z202" s="98"/>
      <c r="AA202" s="98"/>
      <c r="AB202" s="98"/>
      <c r="AC202" s="98"/>
      <c r="AD202" s="98"/>
      <c r="AE202" s="98"/>
      <c r="AF202" s="98"/>
      <c r="AG202" s="98"/>
      <c r="AH202" s="98"/>
      <c r="AI202" s="98"/>
      <c r="AJ202" s="98"/>
      <c r="AK202" s="98"/>
      <c r="AL202" s="98"/>
      <c r="AM202" s="98"/>
      <c r="AN202" s="98"/>
      <c r="AO202" s="148"/>
    </row>
    <row r="203" spans="1:41" ht="19.5" hidden="1" customHeight="1">
      <c r="A203" s="214"/>
      <c r="O203" s="58"/>
      <c r="Y203" s="291"/>
      <c r="Z203" s="291"/>
      <c r="AA203" s="291"/>
      <c r="AB203" s="291"/>
      <c r="AC203" s="291"/>
      <c r="AD203" s="291"/>
      <c r="AE203" s="291"/>
      <c r="AF203" s="291"/>
      <c r="AG203" s="291"/>
      <c r="AH203" s="291"/>
      <c r="AI203" s="291"/>
      <c r="AJ203" s="291"/>
      <c r="AK203" s="291"/>
      <c r="AL203" s="291"/>
      <c r="AM203" s="291"/>
      <c r="AN203" s="291"/>
      <c r="AO203" s="291"/>
    </row>
    <row r="204" spans="1:41" ht="12.75" hidden="1" customHeight="1">
      <c r="A204" s="131"/>
      <c r="B204" s="132"/>
      <c r="C204" s="132"/>
      <c r="D204" s="132"/>
      <c r="E204" s="132"/>
      <c r="F204" s="132"/>
      <c r="G204" s="132"/>
      <c r="H204" s="132"/>
      <c r="I204" s="132"/>
      <c r="J204" s="132"/>
      <c r="K204" s="132"/>
      <c r="L204" s="132"/>
      <c r="M204" s="132"/>
      <c r="N204" s="132"/>
      <c r="O204" s="133"/>
      <c r="P204" s="133"/>
      <c r="Q204" s="132"/>
      <c r="R204" s="132"/>
      <c r="S204" s="132"/>
      <c r="T204" s="132"/>
      <c r="U204" s="132"/>
      <c r="V204" s="132"/>
      <c r="W204" s="132"/>
      <c r="X204" s="132"/>
      <c r="Y204" s="134"/>
      <c r="Z204" s="132"/>
      <c r="AA204" s="132"/>
      <c r="AB204" s="132"/>
      <c r="AC204" s="132"/>
      <c r="AD204" s="132"/>
      <c r="AE204" s="132"/>
      <c r="AF204" s="132"/>
      <c r="AG204" s="132"/>
      <c r="AH204" s="132"/>
      <c r="AI204" s="132"/>
      <c r="AJ204" s="132"/>
      <c r="AK204" s="132"/>
      <c r="AL204" s="132"/>
      <c r="AM204" s="132"/>
      <c r="AN204" s="132"/>
      <c r="AO204" s="135"/>
    </row>
    <row r="205" spans="1:41" ht="18" hidden="1" customHeight="1">
      <c r="A205" s="136"/>
      <c r="B205" s="201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12"/>
      <c r="T205" s="12"/>
      <c r="U205" s="12"/>
      <c r="AG205" s="285"/>
      <c r="AH205" s="285"/>
      <c r="AI205" s="2"/>
      <c r="AJ205" s="2"/>
      <c r="AK205" s="2"/>
      <c r="AO205" s="79"/>
    </row>
    <row r="206" spans="1:41" ht="16.149999999999999" hidden="1" customHeight="1">
      <c r="A206" s="112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5"/>
      <c r="P206" s="15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37"/>
    </row>
    <row r="207" spans="1:41" s="6" customFormat="1" ht="16.149999999999999" hidden="1" customHeight="1">
      <c r="A207" s="193"/>
      <c r="B207" s="202"/>
      <c r="C207" s="59"/>
      <c r="D207" s="59"/>
      <c r="E207" s="59"/>
      <c r="F207" s="59"/>
      <c r="G207" s="59"/>
      <c r="H207" s="59"/>
      <c r="I207" s="59"/>
      <c r="J207" s="59"/>
      <c r="K207" s="337"/>
      <c r="L207" s="337"/>
      <c r="M207" s="337"/>
      <c r="N207" s="337"/>
      <c r="O207" s="337"/>
      <c r="P207" s="337"/>
      <c r="Q207" s="337"/>
      <c r="R207" s="337"/>
      <c r="S207" s="337"/>
      <c r="T207" s="337"/>
      <c r="U207" s="59"/>
      <c r="V207" s="338"/>
      <c r="W207" s="339"/>
      <c r="X207" s="339"/>
      <c r="Y207" s="337"/>
      <c r="Z207" s="337"/>
      <c r="AA207" s="337"/>
      <c r="AB207" s="337"/>
      <c r="AC207" s="337"/>
      <c r="AD207" s="337"/>
      <c r="AE207" s="337"/>
      <c r="AF207" s="337"/>
      <c r="AG207" s="337"/>
      <c r="AH207" s="60"/>
      <c r="AI207" s="60"/>
      <c r="AJ207" s="59"/>
      <c r="AK207" s="59"/>
      <c r="AL207" s="59"/>
      <c r="AM207" s="59"/>
      <c r="AN207" s="59"/>
      <c r="AO207" s="138"/>
    </row>
    <row r="208" spans="1:41" s="6" customFormat="1" ht="16.149999999999999" hidden="1" customHeight="1">
      <c r="A208" s="139"/>
      <c r="B208" s="203"/>
      <c r="C208" s="309"/>
      <c r="D208" s="309"/>
      <c r="E208" s="309"/>
      <c r="F208" s="309"/>
      <c r="G208" s="62"/>
      <c r="H208" s="63"/>
      <c r="I208" s="310"/>
      <c r="J208" s="310"/>
      <c r="K208" s="310"/>
      <c r="L208" s="310"/>
      <c r="M208" s="310"/>
      <c r="N208" s="310"/>
      <c r="O208" s="64"/>
      <c r="P208" s="65"/>
      <c r="Q208" s="309"/>
      <c r="R208" s="309"/>
      <c r="S208" s="309"/>
      <c r="T208" s="309"/>
      <c r="U208" s="309"/>
      <c r="V208" s="311"/>
      <c r="W208" s="311"/>
      <c r="X208" s="312"/>
      <c r="Y208" s="313"/>
      <c r="Z208" s="314"/>
      <c r="AA208" s="315"/>
      <c r="AB208" s="320"/>
      <c r="AC208" s="321"/>
      <c r="AD208" s="323"/>
      <c r="AE208" s="323"/>
      <c r="AF208" s="323"/>
      <c r="AG208" s="323"/>
      <c r="AH208" s="323"/>
      <c r="AI208" s="323"/>
      <c r="AJ208" s="323"/>
      <c r="AK208" s="323"/>
      <c r="AL208" s="323"/>
      <c r="AM208" s="323"/>
      <c r="AN208" s="305"/>
      <c r="AO208" s="306"/>
    </row>
    <row r="209" spans="1:41" s="6" customFormat="1" ht="15" hidden="1" customHeight="1">
      <c r="A209" s="140"/>
      <c r="B209" s="196"/>
      <c r="C209" s="308"/>
      <c r="D209" s="308"/>
      <c r="E209" s="308"/>
      <c r="F209" s="308"/>
      <c r="G209" s="308"/>
      <c r="H209" s="308"/>
      <c r="I209" s="296"/>
      <c r="J209" s="296"/>
      <c r="K209" s="318"/>
      <c r="L209" s="319"/>
      <c r="M209" s="319"/>
      <c r="N209" s="319"/>
      <c r="O209" s="66"/>
      <c r="P209" s="67"/>
      <c r="Q209" s="319"/>
      <c r="R209" s="308"/>
      <c r="S209" s="296"/>
      <c r="T209" s="296"/>
      <c r="U209" s="68"/>
      <c r="V209" s="69"/>
      <c r="W209" s="308"/>
      <c r="X209" s="308"/>
      <c r="Y209" s="70"/>
      <c r="Z209" s="316"/>
      <c r="AA209" s="317"/>
      <c r="AB209" s="320"/>
      <c r="AC209" s="321"/>
      <c r="AD209" s="71"/>
      <c r="AE209" s="174"/>
      <c r="AF209" s="174"/>
      <c r="AG209" s="296"/>
      <c r="AH209" s="296"/>
      <c r="AI209" s="307"/>
      <c r="AJ209" s="307"/>
      <c r="AK209" s="308"/>
      <c r="AL209" s="308"/>
      <c r="AM209" s="308"/>
      <c r="AN209" s="305"/>
      <c r="AO209" s="306"/>
    </row>
    <row r="210" spans="1:41" ht="14.25" hidden="1" customHeight="1">
      <c r="A210" s="141"/>
      <c r="B210" s="210"/>
      <c r="C210" s="72"/>
      <c r="D210" s="72"/>
      <c r="E210" s="72"/>
      <c r="F210" s="72"/>
      <c r="G210" s="72"/>
      <c r="H210" s="73"/>
      <c r="I210" s="48"/>
      <c r="J210" s="49"/>
      <c r="K210" s="319"/>
      <c r="L210" s="319"/>
      <c r="M210" s="319"/>
      <c r="N210" s="324"/>
      <c r="O210" s="74"/>
      <c r="P210" s="75"/>
      <c r="Q210" s="325"/>
      <c r="R210" s="308"/>
      <c r="S210" s="6"/>
      <c r="T210" s="6"/>
      <c r="U210" s="76"/>
      <c r="V210" s="77"/>
      <c r="W210" s="326"/>
      <c r="X210" s="327"/>
      <c r="Y210" s="78"/>
      <c r="Z210" s="328"/>
      <c r="AA210" s="329"/>
      <c r="AB210" s="320"/>
      <c r="AC210" s="321"/>
      <c r="AD210" s="81"/>
      <c r="AE210" s="175"/>
      <c r="AF210" s="6"/>
      <c r="AG210" s="330"/>
      <c r="AH210" s="330"/>
      <c r="AI210" s="296"/>
      <c r="AJ210" s="296"/>
      <c r="AK210" s="6"/>
      <c r="AL210" s="6"/>
      <c r="AM210" s="6"/>
      <c r="AN210" s="305"/>
      <c r="AO210" s="306"/>
    </row>
    <row r="211" spans="1:41" ht="16.149999999999999" hidden="1" customHeight="1">
      <c r="A211" s="141"/>
      <c r="B211" s="210"/>
      <c r="C211" s="72"/>
      <c r="D211" s="72"/>
      <c r="E211" s="72"/>
      <c r="F211" s="72"/>
      <c r="G211" s="212"/>
      <c r="H211" s="73"/>
      <c r="J211" s="79"/>
      <c r="K211" s="319"/>
      <c r="L211" s="319"/>
      <c r="M211" s="319"/>
      <c r="N211" s="324"/>
      <c r="O211" s="74"/>
      <c r="P211" s="75"/>
      <c r="Q211" s="325"/>
      <c r="R211" s="308"/>
      <c r="S211" s="331"/>
      <c r="T211" s="327"/>
      <c r="U211" s="80"/>
      <c r="V211" s="81"/>
      <c r="W211" s="332"/>
      <c r="X211" s="333"/>
      <c r="Y211" s="82"/>
      <c r="Z211" s="334"/>
      <c r="AA211" s="335"/>
      <c r="AB211" s="83"/>
      <c r="AC211" s="321"/>
      <c r="AD211" s="176"/>
      <c r="AE211" s="84"/>
      <c r="AF211" s="176"/>
      <c r="AG211" s="336"/>
      <c r="AH211" s="336"/>
      <c r="AI211" s="296"/>
      <c r="AJ211" s="296"/>
      <c r="AK211" s="308"/>
      <c r="AL211" s="308"/>
      <c r="AM211" s="308"/>
      <c r="AN211" s="305"/>
      <c r="AO211" s="306"/>
    </row>
    <row r="212" spans="1:41" ht="16.149999999999999" hidden="1" customHeight="1">
      <c r="A212" s="142"/>
      <c r="B212" s="211"/>
      <c r="C212" s="431"/>
      <c r="D212" s="432"/>
      <c r="E212" s="432"/>
      <c r="F212" s="432"/>
      <c r="G212" s="432"/>
      <c r="H212" s="433"/>
      <c r="J212" s="79"/>
      <c r="M212" s="300"/>
      <c r="N212" s="300"/>
      <c r="O212" s="86"/>
      <c r="P212" s="87"/>
      <c r="Q212" s="266"/>
      <c r="R212" s="267"/>
      <c r="S212" s="11"/>
      <c r="T212" s="13"/>
      <c r="U212" s="85"/>
      <c r="V212" s="85"/>
      <c r="X212" s="13"/>
      <c r="Y212" s="88"/>
      <c r="AA212" s="79"/>
      <c r="AB212" s="89"/>
      <c r="AC212" s="322"/>
      <c r="AD212" s="13"/>
      <c r="AE212" s="85"/>
      <c r="AF212" s="85"/>
      <c r="AG212" s="11"/>
      <c r="AH212" s="13"/>
      <c r="AI212" s="301"/>
      <c r="AJ212" s="302"/>
      <c r="AK212" s="53"/>
      <c r="AL212" s="53"/>
      <c r="AM212" s="49"/>
      <c r="AN212" s="303"/>
      <c r="AO212" s="304"/>
    </row>
    <row r="213" spans="1:41" ht="16.149999999999999" hidden="1" customHeight="1">
      <c r="A213" s="216"/>
      <c r="B213" s="206"/>
      <c r="C213" s="261"/>
      <c r="D213" s="262"/>
      <c r="E213" s="262"/>
      <c r="F213" s="262"/>
      <c r="G213" s="262"/>
      <c r="H213" s="263"/>
      <c r="I213" s="264"/>
      <c r="J213" s="297"/>
      <c r="K213" s="151"/>
      <c r="L213" s="194"/>
      <c r="M213" s="240"/>
      <c r="N213" s="241"/>
      <c r="O213" s="150"/>
      <c r="P213" s="154"/>
      <c r="Q213" s="298"/>
      <c r="R213" s="299"/>
      <c r="S213" s="292"/>
      <c r="T213" s="292"/>
      <c r="U213" s="155"/>
      <c r="V213" s="155"/>
      <c r="W213" s="269"/>
      <c r="X213" s="269"/>
      <c r="Y213" s="152"/>
      <c r="Z213" s="270"/>
      <c r="AA213" s="271"/>
      <c r="AB213" s="153"/>
      <c r="AC213" s="91"/>
      <c r="AD213" s="149"/>
      <c r="AE213" s="90"/>
      <c r="AF213" s="149"/>
      <c r="AG213" s="269"/>
      <c r="AH213" s="269"/>
      <c r="AI213" s="269"/>
      <c r="AJ213" s="269"/>
      <c r="AK213" s="269"/>
      <c r="AL213" s="269"/>
      <c r="AM213" s="269"/>
      <c r="AN213" s="269"/>
      <c r="AO213" s="283"/>
    </row>
    <row r="214" spans="1:41" ht="16.149999999999999" hidden="1" customHeight="1">
      <c r="A214" s="216"/>
      <c r="B214" s="206"/>
      <c r="C214" s="261"/>
      <c r="D214" s="262"/>
      <c r="E214" s="262"/>
      <c r="F214" s="262"/>
      <c r="G214" s="262"/>
      <c r="H214" s="263"/>
      <c r="I214" s="264"/>
      <c r="J214" s="265"/>
      <c r="K214" s="151"/>
      <c r="L214" s="194"/>
      <c r="M214" s="240"/>
      <c r="N214" s="241"/>
      <c r="O214" s="150"/>
      <c r="P214" s="154"/>
      <c r="Q214" s="298"/>
      <c r="R214" s="299"/>
      <c r="S214" s="292"/>
      <c r="T214" s="292"/>
      <c r="U214" s="155"/>
      <c r="V214" s="155"/>
      <c r="W214" s="269"/>
      <c r="X214" s="269"/>
      <c r="Y214" s="152"/>
      <c r="Z214" s="270"/>
      <c r="AA214" s="271"/>
      <c r="AB214" s="153"/>
      <c r="AC214" s="91"/>
      <c r="AD214" s="149"/>
      <c r="AE214" s="90"/>
      <c r="AF214" s="149"/>
      <c r="AG214" s="269"/>
      <c r="AH214" s="269"/>
      <c r="AI214" s="269"/>
      <c r="AJ214" s="269"/>
      <c r="AK214" s="269"/>
      <c r="AL214" s="269"/>
      <c r="AM214" s="269"/>
      <c r="AN214" s="269"/>
      <c r="AO214" s="283"/>
    </row>
    <row r="215" spans="1:41" ht="16.149999999999999" hidden="1" customHeight="1">
      <c r="A215" s="216"/>
      <c r="B215" s="206"/>
      <c r="C215" s="261"/>
      <c r="D215" s="262"/>
      <c r="E215" s="262"/>
      <c r="F215" s="262"/>
      <c r="G215" s="262"/>
      <c r="H215" s="263"/>
      <c r="I215" s="264"/>
      <c r="J215" s="265"/>
      <c r="K215" s="151"/>
      <c r="L215" s="194"/>
      <c r="M215" s="240"/>
      <c r="N215" s="241"/>
      <c r="O215" s="150"/>
      <c r="P215" s="154"/>
      <c r="Q215" s="298"/>
      <c r="R215" s="299"/>
      <c r="S215" s="292"/>
      <c r="T215" s="292"/>
      <c r="U215" s="155"/>
      <c r="V215" s="155"/>
      <c r="W215" s="269"/>
      <c r="X215" s="269"/>
      <c r="Y215" s="152"/>
      <c r="Z215" s="270"/>
      <c r="AA215" s="271"/>
      <c r="AB215" s="153"/>
      <c r="AC215" s="91"/>
      <c r="AD215" s="149"/>
      <c r="AE215" s="90"/>
      <c r="AF215" s="149"/>
      <c r="AG215" s="269"/>
      <c r="AH215" s="269"/>
      <c r="AI215" s="269"/>
      <c r="AJ215" s="269"/>
      <c r="AK215" s="269"/>
      <c r="AL215" s="269"/>
      <c r="AM215" s="269"/>
      <c r="AN215" s="269"/>
      <c r="AO215" s="283"/>
    </row>
    <row r="216" spans="1:41" ht="16.149999999999999" hidden="1" customHeight="1">
      <c r="A216" s="216"/>
      <c r="B216" s="206"/>
      <c r="C216" s="261"/>
      <c r="D216" s="262"/>
      <c r="E216" s="262"/>
      <c r="F216" s="262"/>
      <c r="G216" s="262"/>
      <c r="H216" s="263"/>
      <c r="I216" s="264"/>
      <c r="J216" s="265"/>
      <c r="K216" s="151"/>
      <c r="L216" s="194"/>
      <c r="M216" s="240"/>
      <c r="N216" s="241"/>
      <c r="O216" s="150"/>
      <c r="P216" s="154"/>
      <c r="Q216" s="242"/>
      <c r="R216" s="243"/>
      <c r="S216" s="292"/>
      <c r="T216" s="292"/>
      <c r="U216" s="155"/>
      <c r="V216" s="155"/>
      <c r="W216" s="269"/>
      <c r="X216" s="269"/>
      <c r="Y216" s="152"/>
      <c r="Z216" s="270"/>
      <c r="AA216" s="271"/>
      <c r="AB216" s="153"/>
      <c r="AC216" s="91"/>
      <c r="AD216" s="149"/>
      <c r="AE216" s="90"/>
      <c r="AF216" s="149"/>
      <c r="AG216" s="269"/>
      <c r="AH216" s="269"/>
      <c r="AI216" s="269"/>
      <c r="AJ216" s="269"/>
      <c r="AK216" s="269"/>
      <c r="AL216" s="269"/>
      <c r="AM216" s="269"/>
      <c r="AN216" s="269"/>
      <c r="AO216" s="283"/>
    </row>
    <row r="217" spans="1:41" ht="16.149999999999999" hidden="1" customHeight="1">
      <c r="A217" s="216"/>
      <c r="B217" s="206"/>
      <c r="C217" s="261"/>
      <c r="D217" s="262"/>
      <c r="E217" s="262"/>
      <c r="F217" s="262"/>
      <c r="G217" s="262"/>
      <c r="H217" s="263"/>
      <c r="I217" s="264"/>
      <c r="J217" s="265"/>
      <c r="K217" s="151"/>
      <c r="L217" s="194"/>
      <c r="M217" s="240"/>
      <c r="N217" s="241"/>
      <c r="O217" s="150"/>
      <c r="P217" s="154"/>
      <c r="Q217" s="242"/>
      <c r="R217" s="243"/>
      <c r="S217" s="292"/>
      <c r="T217" s="292"/>
      <c r="U217" s="155"/>
      <c r="V217" s="155"/>
      <c r="W217" s="269"/>
      <c r="X217" s="269"/>
      <c r="Y217" s="152"/>
      <c r="Z217" s="270"/>
      <c r="AA217" s="271"/>
      <c r="AB217" s="153"/>
      <c r="AC217" s="91"/>
      <c r="AD217" s="149"/>
      <c r="AE217" s="90"/>
      <c r="AF217" s="149"/>
      <c r="AG217" s="269"/>
      <c r="AH217" s="269"/>
      <c r="AI217" s="269"/>
      <c r="AJ217" s="269"/>
      <c r="AK217" s="269"/>
      <c r="AL217" s="269"/>
      <c r="AM217" s="269"/>
      <c r="AN217" s="269"/>
      <c r="AO217" s="283"/>
    </row>
    <row r="218" spans="1:41" ht="16.149999999999999" hidden="1" customHeight="1">
      <c r="A218" s="216"/>
      <c r="B218" s="206"/>
      <c r="C218" s="261"/>
      <c r="D218" s="262"/>
      <c r="E218" s="262"/>
      <c r="F218" s="262"/>
      <c r="G218" s="262"/>
      <c r="H218" s="263"/>
      <c r="I218" s="264"/>
      <c r="J218" s="265"/>
      <c r="K218" s="151"/>
      <c r="L218" s="194"/>
      <c r="M218" s="240"/>
      <c r="N218" s="241"/>
      <c r="O218" s="150"/>
      <c r="P218" s="154"/>
      <c r="Q218" s="242"/>
      <c r="R218" s="243"/>
      <c r="S218" s="292"/>
      <c r="T218" s="292"/>
      <c r="U218" s="155"/>
      <c r="V218" s="155"/>
      <c r="W218" s="269"/>
      <c r="X218" s="269"/>
      <c r="Y218" s="152"/>
      <c r="Z218" s="270"/>
      <c r="AA218" s="271"/>
      <c r="AB218" s="153"/>
      <c r="AC218" s="91"/>
      <c r="AD218" s="149"/>
      <c r="AE218" s="90"/>
      <c r="AF218" s="149"/>
      <c r="AG218" s="269"/>
      <c r="AH218" s="269"/>
      <c r="AI218" s="269"/>
      <c r="AJ218" s="269"/>
      <c r="AK218" s="269"/>
      <c r="AL218" s="269"/>
      <c r="AM218" s="269"/>
      <c r="AN218" s="269"/>
      <c r="AO218" s="283"/>
    </row>
    <row r="219" spans="1:41" ht="16.149999999999999" hidden="1" customHeight="1">
      <c r="A219" s="216"/>
      <c r="B219" s="206"/>
      <c r="C219" s="261"/>
      <c r="D219" s="262"/>
      <c r="E219" s="262"/>
      <c r="F219" s="262"/>
      <c r="G219" s="262"/>
      <c r="H219" s="263"/>
      <c r="I219" s="264"/>
      <c r="J219" s="265"/>
      <c r="K219" s="151"/>
      <c r="L219" s="194"/>
      <c r="M219" s="240"/>
      <c r="N219" s="241"/>
      <c r="O219" s="150"/>
      <c r="P219" s="154"/>
      <c r="Q219" s="242"/>
      <c r="R219" s="243"/>
      <c r="S219" s="292"/>
      <c r="T219" s="292"/>
      <c r="U219" s="155"/>
      <c r="V219" s="155"/>
      <c r="W219" s="269"/>
      <c r="X219" s="269"/>
      <c r="Y219" s="152"/>
      <c r="Z219" s="270"/>
      <c r="AA219" s="271"/>
      <c r="AB219" s="153"/>
      <c r="AC219" s="91"/>
      <c r="AD219" s="149"/>
      <c r="AE219" s="90"/>
      <c r="AF219" s="149"/>
      <c r="AG219" s="269"/>
      <c r="AH219" s="269"/>
      <c r="AI219" s="269"/>
      <c r="AJ219" s="269"/>
      <c r="AK219" s="269"/>
      <c r="AL219" s="269"/>
      <c r="AM219" s="269"/>
      <c r="AN219" s="269"/>
      <c r="AO219" s="283"/>
    </row>
    <row r="220" spans="1:41" ht="16.149999999999999" hidden="1" customHeight="1">
      <c r="A220" s="216"/>
      <c r="B220" s="206"/>
      <c r="C220" s="261"/>
      <c r="D220" s="262"/>
      <c r="E220" s="262"/>
      <c r="F220" s="262"/>
      <c r="G220" s="262"/>
      <c r="H220" s="263"/>
      <c r="I220" s="264"/>
      <c r="J220" s="265"/>
      <c r="K220" s="151"/>
      <c r="L220" s="194"/>
      <c r="M220" s="240"/>
      <c r="N220" s="241"/>
      <c r="O220" s="150"/>
      <c r="P220" s="154"/>
      <c r="Q220" s="242"/>
      <c r="R220" s="243"/>
      <c r="S220" s="292"/>
      <c r="T220" s="292"/>
      <c r="U220" s="155"/>
      <c r="V220" s="155"/>
      <c r="W220" s="269"/>
      <c r="X220" s="269"/>
      <c r="Y220" s="152"/>
      <c r="Z220" s="270"/>
      <c r="AA220" s="271"/>
      <c r="AB220" s="153"/>
      <c r="AC220" s="91"/>
      <c r="AD220" s="149"/>
      <c r="AE220" s="90"/>
      <c r="AF220" s="149"/>
      <c r="AG220" s="269"/>
      <c r="AH220" s="269"/>
      <c r="AI220" s="269"/>
      <c r="AJ220" s="269"/>
      <c r="AK220" s="269"/>
      <c r="AL220" s="269"/>
      <c r="AM220" s="269"/>
      <c r="AN220" s="269"/>
      <c r="AO220" s="283"/>
    </row>
    <row r="221" spans="1:41" ht="16.149999999999999" hidden="1" customHeight="1">
      <c r="A221" s="216"/>
      <c r="B221" s="206"/>
      <c r="C221" s="261"/>
      <c r="D221" s="262"/>
      <c r="E221" s="262"/>
      <c r="F221" s="262"/>
      <c r="G221" s="262"/>
      <c r="H221" s="263"/>
      <c r="I221" s="264"/>
      <c r="J221" s="265"/>
      <c r="K221" s="151"/>
      <c r="L221" s="194"/>
      <c r="M221" s="240"/>
      <c r="N221" s="241"/>
      <c r="O221" s="150"/>
      <c r="P221" s="154"/>
      <c r="Q221" s="242"/>
      <c r="R221" s="243"/>
      <c r="S221" s="292"/>
      <c r="T221" s="292"/>
      <c r="U221" s="155"/>
      <c r="V221" s="155"/>
      <c r="W221" s="269"/>
      <c r="X221" s="269"/>
      <c r="Y221" s="152"/>
      <c r="Z221" s="270"/>
      <c r="AA221" s="271"/>
      <c r="AB221" s="153"/>
      <c r="AC221" s="91"/>
      <c r="AD221" s="149"/>
      <c r="AE221" s="90"/>
      <c r="AF221" s="149"/>
      <c r="AG221" s="269"/>
      <c r="AH221" s="269"/>
      <c r="AI221" s="269"/>
      <c r="AJ221" s="269"/>
      <c r="AK221" s="269"/>
      <c r="AL221" s="269"/>
      <c r="AM221" s="269"/>
      <c r="AN221" s="269"/>
      <c r="AO221" s="283"/>
    </row>
    <row r="222" spans="1:41" ht="16.149999999999999" hidden="1" customHeight="1">
      <c r="A222" s="216"/>
      <c r="B222" s="206"/>
      <c r="C222" s="261"/>
      <c r="D222" s="262"/>
      <c r="E222" s="262"/>
      <c r="F222" s="262"/>
      <c r="G222" s="262"/>
      <c r="H222" s="263"/>
      <c r="I222" s="264"/>
      <c r="J222" s="265"/>
      <c r="K222" s="151"/>
      <c r="L222" s="194"/>
      <c r="M222" s="240"/>
      <c r="N222" s="241"/>
      <c r="O222" s="150"/>
      <c r="P222" s="154"/>
      <c r="Q222" s="242"/>
      <c r="R222" s="243"/>
      <c r="S222" s="292"/>
      <c r="T222" s="292"/>
      <c r="U222" s="155"/>
      <c r="V222" s="155"/>
      <c r="W222" s="269"/>
      <c r="X222" s="269"/>
      <c r="Y222" s="152"/>
      <c r="Z222" s="270"/>
      <c r="AA222" s="271"/>
      <c r="AB222" s="153"/>
      <c r="AC222" s="91"/>
      <c r="AD222" s="149"/>
      <c r="AE222" s="90"/>
      <c r="AF222" s="149"/>
      <c r="AG222" s="269"/>
      <c r="AH222" s="269"/>
      <c r="AI222" s="269"/>
      <c r="AJ222" s="269"/>
      <c r="AK222" s="269"/>
      <c r="AL222" s="269"/>
      <c r="AM222" s="269"/>
      <c r="AN222" s="269"/>
      <c r="AO222" s="283"/>
    </row>
    <row r="223" spans="1:41" ht="16.149999999999999" hidden="1" customHeight="1">
      <c r="A223" s="216"/>
      <c r="B223" s="206"/>
      <c r="C223" s="261"/>
      <c r="D223" s="262"/>
      <c r="E223" s="262"/>
      <c r="F223" s="262"/>
      <c r="G223" s="262"/>
      <c r="H223" s="263"/>
      <c r="I223" s="264"/>
      <c r="J223" s="265"/>
      <c r="K223" s="151"/>
      <c r="L223" s="194"/>
      <c r="M223" s="240"/>
      <c r="N223" s="241"/>
      <c r="O223" s="150"/>
      <c r="P223" s="154"/>
      <c r="Q223" s="242"/>
      <c r="R223" s="243"/>
      <c r="S223" s="292"/>
      <c r="T223" s="292"/>
      <c r="U223" s="155"/>
      <c r="V223" s="155"/>
      <c r="W223" s="269"/>
      <c r="X223" s="269"/>
      <c r="Y223" s="152"/>
      <c r="Z223" s="270"/>
      <c r="AA223" s="271"/>
      <c r="AB223" s="153"/>
      <c r="AC223" s="91"/>
      <c r="AD223" s="149"/>
      <c r="AE223" s="90"/>
      <c r="AF223" s="149"/>
      <c r="AG223" s="269"/>
      <c r="AH223" s="269"/>
      <c r="AI223" s="269"/>
      <c r="AJ223" s="269"/>
      <c r="AK223" s="269"/>
      <c r="AL223" s="269"/>
      <c r="AM223" s="269"/>
      <c r="AN223" s="269"/>
      <c r="AO223" s="283"/>
    </row>
    <row r="224" spans="1:41" ht="16.149999999999999" hidden="1" customHeight="1">
      <c r="A224" s="216"/>
      <c r="B224" s="206"/>
      <c r="C224" s="261"/>
      <c r="D224" s="262"/>
      <c r="E224" s="262"/>
      <c r="F224" s="262"/>
      <c r="G224" s="262"/>
      <c r="H224" s="263"/>
      <c r="I224" s="264"/>
      <c r="J224" s="265"/>
      <c r="K224" s="151"/>
      <c r="L224" s="194"/>
      <c r="M224" s="240"/>
      <c r="N224" s="241"/>
      <c r="O224" s="150"/>
      <c r="P224" s="154"/>
      <c r="Q224" s="242"/>
      <c r="R224" s="243"/>
      <c r="S224" s="292"/>
      <c r="T224" s="292"/>
      <c r="U224" s="155"/>
      <c r="V224" s="155"/>
      <c r="W224" s="269"/>
      <c r="X224" s="269"/>
      <c r="Y224" s="152"/>
      <c r="Z224" s="270"/>
      <c r="AA224" s="271"/>
      <c r="AB224" s="153"/>
      <c r="AC224" s="91"/>
      <c r="AD224" s="149"/>
      <c r="AE224" s="90"/>
      <c r="AF224" s="149"/>
      <c r="AG224" s="269"/>
      <c r="AH224" s="269"/>
      <c r="AI224" s="269"/>
      <c r="AJ224" s="269"/>
      <c r="AK224" s="269"/>
      <c r="AL224" s="269"/>
      <c r="AM224" s="269"/>
      <c r="AN224" s="269"/>
      <c r="AO224" s="283"/>
    </row>
    <row r="225" spans="1:41" ht="16.149999999999999" hidden="1" customHeight="1">
      <c r="A225" s="216"/>
      <c r="B225" s="206"/>
      <c r="C225" s="261"/>
      <c r="D225" s="262"/>
      <c r="E225" s="262"/>
      <c r="F225" s="262"/>
      <c r="G225" s="262"/>
      <c r="H225" s="263"/>
      <c r="I225" s="264"/>
      <c r="J225" s="265"/>
      <c r="K225" s="151"/>
      <c r="L225" s="194"/>
      <c r="M225" s="240"/>
      <c r="N225" s="241"/>
      <c r="O225" s="150"/>
      <c r="P225" s="154"/>
      <c r="Q225" s="242"/>
      <c r="R225" s="243"/>
      <c r="S225" s="292"/>
      <c r="T225" s="292"/>
      <c r="U225" s="155"/>
      <c r="V225" s="155"/>
      <c r="W225" s="269"/>
      <c r="X225" s="269"/>
      <c r="Y225" s="152"/>
      <c r="Z225" s="270"/>
      <c r="AA225" s="271"/>
      <c r="AB225" s="153"/>
      <c r="AC225" s="91"/>
      <c r="AD225" s="149"/>
      <c r="AE225" s="90"/>
      <c r="AF225" s="149"/>
      <c r="AG225" s="269"/>
      <c r="AH225" s="269"/>
      <c r="AI225" s="269"/>
      <c r="AJ225" s="269"/>
      <c r="AK225" s="269"/>
      <c r="AL225" s="269"/>
      <c r="AM225" s="269"/>
      <c r="AN225" s="269"/>
      <c r="AO225" s="283"/>
    </row>
    <row r="226" spans="1:41" ht="16.149999999999999" hidden="1" customHeight="1">
      <c r="A226" s="216"/>
      <c r="B226" s="206"/>
      <c r="C226" s="261"/>
      <c r="D226" s="262"/>
      <c r="E226" s="262"/>
      <c r="F226" s="262"/>
      <c r="G226" s="262"/>
      <c r="H226" s="263"/>
      <c r="I226" s="264"/>
      <c r="J226" s="265"/>
      <c r="K226" s="151"/>
      <c r="L226" s="194"/>
      <c r="M226" s="240"/>
      <c r="N226" s="241"/>
      <c r="O226" s="150"/>
      <c r="P226" s="154"/>
      <c r="Q226" s="242"/>
      <c r="R226" s="243"/>
      <c r="S226" s="292"/>
      <c r="T226" s="292"/>
      <c r="U226" s="155"/>
      <c r="V226" s="155"/>
      <c r="W226" s="269"/>
      <c r="X226" s="269"/>
      <c r="Y226" s="152"/>
      <c r="Z226" s="270"/>
      <c r="AA226" s="271"/>
      <c r="AB226" s="153"/>
      <c r="AC226" s="91"/>
      <c r="AD226" s="149"/>
      <c r="AE226" s="90"/>
      <c r="AF226" s="149"/>
      <c r="AG226" s="269"/>
      <c r="AH226" s="269"/>
      <c r="AI226" s="269"/>
      <c r="AJ226" s="269"/>
      <c r="AK226" s="269"/>
      <c r="AL226" s="269"/>
      <c r="AM226" s="269"/>
      <c r="AN226" s="269"/>
      <c r="AO226" s="283"/>
    </row>
    <row r="227" spans="1:41" ht="16.149999999999999" hidden="1" customHeight="1">
      <c r="A227" s="216"/>
      <c r="B227" s="206"/>
      <c r="C227" s="261"/>
      <c r="D227" s="262"/>
      <c r="E227" s="262"/>
      <c r="F227" s="262"/>
      <c r="G227" s="262"/>
      <c r="H227" s="263"/>
      <c r="I227" s="264"/>
      <c r="J227" s="265"/>
      <c r="K227" s="151"/>
      <c r="L227" s="194"/>
      <c r="M227" s="240"/>
      <c r="N227" s="241"/>
      <c r="O227" s="150"/>
      <c r="P227" s="154"/>
      <c r="Q227" s="242"/>
      <c r="R227" s="243"/>
      <c r="S227" s="292"/>
      <c r="T227" s="292"/>
      <c r="U227" s="155"/>
      <c r="V227" s="155"/>
      <c r="W227" s="269"/>
      <c r="X227" s="269"/>
      <c r="Y227" s="152"/>
      <c r="Z227" s="270"/>
      <c r="AA227" s="271"/>
      <c r="AB227" s="153"/>
      <c r="AC227" s="91"/>
      <c r="AD227" s="149"/>
      <c r="AE227" s="90"/>
      <c r="AF227" s="149"/>
      <c r="AG227" s="269"/>
      <c r="AH227" s="269"/>
      <c r="AI227" s="269"/>
      <c r="AJ227" s="269"/>
      <c r="AK227" s="269"/>
      <c r="AL227" s="269"/>
      <c r="AM227" s="269"/>
      <c r="AN227" s="269"/>
      <c r="AO227" s="283"/>
    </row>
    <row r="228" spans="1:41" ht="16.149999999999999" hidden="1" customHeight="1">
      <c r="A228" s="216"/>
      <c r="B228" s="206"/>
      <c r="C228" s="261"/>
      <c r="D228" s="262"/>
      <c r="E228" s="262"/>
      <c r="F228" s="262"/>
      <c r="G228" s="262"/>
      <c r="H228" s="263"/>
      <c r="I228" s="264"/>
      <c r="J228" s="265"/>
      <c r="K228" s="151"/>
      <c r="L228" s="194"/>
      <c r="M228" s="240"/>
      <c r="N228" s="241"/>
      <c r="O228" s="150"/>
      <c r="P228" s="154"/>
      <c r="Q228" s="242"/>
      <c r="R228" s="243"/>
      <c r="S228" s="292"/>
      <c r="T228" s="292"/>
      <c r="U228" s="155"/>
      <c r="V228" s="155"/>
      <c r="W228" s="269"/>
      <c r="X228" s="269"/>
      <c r="Y228" s="152"/>
      <c r="Z228" s="270"/>
      <c r="AA228" s="271"/>
      <c r="AB228" s="153"/>
      <c r="AC228" s="91"/>
      <c r="AD228" s="149"/>
      <c r="AE228" s="90"/>
      <c r="AF228" s="149"/>
      <c r="AG228" s="269"/>
      <c r="AH228" s="269"/>
      <c r="AI228" s="269"/>
      <c r="AJ228" s="269"/>
      <c r="AK228" s="269"/>
      <c r="AL228" s="269"/>
      <c r="AM228" s="269"/>
      <c r="AN228" s="269"/>
      <c r="AO228" s="283"/>
    </row>
    <row r="229" spans="1:41" ht="16.149999999999999" hidden="1" customHeight="1">
      <c r="A229" s="216"/>
      <c r="B229" s="206"/>
      <c r="C229" s="261"/>
      <c r="D229" s="262"/>
      <c r="E229" s="262"/>
      <c r="F229" s="262"/>
      <c r="G229" s="262"/>
      <c r="H229" s="263"/>
      <c r="I229" s="264"/>
      <c r="J229" s="265"/>
      <c r="K229" s="151"/>
      <c r="L229" s="194"/>
      <c r="M229" s="240"/>
      <c r="N229" s="241"/>
      <c r="O229" s="150"/>
      <c r="P229" s="154"/>
      <c r="Q229" s="242"/>
      <c r="R229" s="243"/>
      <c r="S229" s="292"/>
      <c r="T229" s="292"/>
      <c r="U229" s="155"/>
      <c r="V229" s="155"/>
      <c r="W229" s="269"/>
      <c r="X229" s="269"/>
      <c r="Y229" s="152"/>
      <c r="Z229" s="270"/>
      <c r="AA229" s="271"/>
      <c r="AB229" s="153"/>
      <c r="AC229" s="91"/>
      <c r="AD229" s="149"/>
      <c r="AE229" s="90"/>
      <c r="AF229" s="149"/>
      <c r="AG229" s="269"/>
      <c r="AH229" s="269"/>
      <c r="AI229" s="269"/>
      <c r="AJ229" s="269"/>
      <c r="AK229" s="269"/>
      <c r="AL229" s="269"/>
      <c r="AM229" s="269"/>
      <c r="AN229" s="269"/>
      <c r="AO229" s="283"/>
    </row>
    <row r="230" spans="1:41" ht="16.149999999999999" hidden="1" customHeight="1">
      <c r="A230" s="217"/>
      <c r="B230" s="207"/>
      <c r="C230" s="261"/>
      <c r="D230" s="262"/>
      <c r="E230" s="262"/>
      <c r="F230" s="262"/>
      <c r="G230" s="262"/>
      <c r="H230" s="263"/>
      <c r="I230" s="264"/>
      <c r="J230" s="265"/>
      <c r="K230" s="151"/>
      <c r="L230" s="194"/>
      <c r="M230" s="240"/>
      <c r="N230" s="241"/>
      <c r="O230" s="150"/>
      <c r="P230" s="154"/>
      <c r="Q230" s="242"/>
      <c r="R230" s="243"/>
      <c r="S230" s="292"/>
      <c r="T230" s="292"/>
      <c r="U230" s="155"/>
      <c r="V230" s="155"/>
      <c r="W230" s="269"/>
      <c r="X230" s="269"/>
      <c r="Y230" s="152"/>
      <c r="Z230" s="270"/>
      <c r="AA230" s="271"/>
      <c r="AB230" s="153"/>
      <c r="AC230" s="91"/>
      <c r="AD230" s="149"/>
      <c r="AE230" s="90"/>
      <c r="AF230" s="149"/>
      <c r="AG230" s="269"/>
      <c r="AH230" s="269"/>
      <c r="AI230" s="269"/>
      <c r="AJ230" s="269"/>
      <c r="AK230" s="269"/>
      <c r="AL230" s="269"/>
      <c r="AM230" s="269"/>
      <c r="AN230" s="269"/>
      <c r="AO230" s="283"/>
    </row>
    <row r="231" spans="1:41" ht="16.149999999999999" hidden="1" customHeight="1">
      <c r="A231" s="217"/>
      <c r="B231" s="207"/>
      <c r="C231" s="261"/>
      <c r="D231" s="262"/>
      <c r="E231" s="262"/>
      <c r="F231" s="262"/>
      <c r="G231" s="262"/>
      <c r="H231" s="263"/>
      <c r="I231" s="264"/>
      <c r="J231" s="265"/>
      <c r="K231" s="151"/>
      <c r="L231" s="194"/>
      <c r="M231" s="240"/>
      <c r="N231" s="241"/>
      <c r="O231" s="150"/>
      <c r="P231" s="154"/>
      <c r="Q231" s="242"/>
      <c r="R231" s="243"/>
      <c r="S231" s="292"/>
      <c r="T231" s="292"/>
      <c r="U231" s="155"/>
      <c r="V231" s="155"/>
      <c r="W231" s="269"/>
      <c r="X231" s="269"/>
      <c r="Y231" s="152"/>
      <c r="Z231" s="270"/>
      <c r="AA231" s="271"/>
      <c r="AB231" s="153"/>
      <c r="AC231" s="91"/>
      <c r="AD231" s="149"/>
      <c r="AE231" s="90"/>
      <c r="AF231" s="149"/>
      <c r="AG231" s="269"/>
      <c r="AH231" s="269"/>
      <c r="AI231" s="269"/>
      <c r="AJ231" s="269"/>
      <c r="AK231" s="269"/>
      <c r="AL231" s="269"/>
      <c r="AM231" s="269"/>
      <c r="AN231" s="269"/>
      <c r="AO231" s="283"/>
    </row>
    <row r="232" spans="1:41" ht="16.5" hidden="1" customHeight="1">
      <c r="A232" s="217"/>
      <c r="B232" s="207"/>
      <c r="C232" s="261"/>
      <c r="D232" s="262"/>
      <c r="E232" s="262"/>
      <c r="F232" s="262"/>
      <c r="G232" s="262"/>
      <c r="H232" s="263"/>
      <c r="I232" s="264"/>
      <c r="J232" s="265"/>
      <c r="K232" s="151"/>
      <c r="L232" s="194"/>
      <c r="M232" s="240"/>
      <c r="N232" s="241"/>
      <c r="O232" s="150"/>
      <c r="P232" s="154"/>
      <c r="Q232" s="242"/>
      <c r="R232" s="243"/>
      <c r="S232" s="292"/>
      <c r="T232" s="292"/>
      <c r="U232" s="155"/>
      <c r="V232" s="155"/>
      <c r="W232" s="269"/>
      <c r="X232" s="269"/>
      <c r="Y232" s="152"/>
      <c r="Z232" s="270"/>
      <c r="AA232" s="271"/>
      <c r="AB232" s="153"/>
      <c r="AC232" s="91"/>
      <c r="AD232" s="149"/>
      <c r="AE232" s="90"/>
      <c r="AF232" s="149"/>
      <c r="AG232" s="269"/>
      <c r="AH232" s="269"/>
      <c r="AI232" s="269"/>
      <c r="AJ232" s="269"/>
      <c r="AK232" s="269"/>
      <c r="AL232" s="269"/>
      <c r="AM232" s="269"/>
      <c r="AN232" s="269"/>
      <c r="AO232" s="283"/>
    </row>
    <row r="233" spans="1:41" ht="16.5" hidden="1" customHeight="1">
      <c r="A233" s="216"/>
      <c r="B233" s="208"/>
      <c r="C233" s="261"/>
      <c r="D233" s="262"/>
      <c r="E233" s="262"/>
      <c r="F233" s="262"/>
      <c r="G233" s="262"/>
      <c r="H233" s="263"/>
      <c r="I233" s="276"/>
      <c r="J233" s="277"/>
      <c r="K233" s="151"/>
      <c r="L233" s="194"/>
      <c r="M233" s="240"/>
      <c r="N233" s="241"/>
      <c r="O233" s="150"/>
      <c r="P233" s="154"/>
      <c r="Q233" s="242"/>
      <c r="R233" s="243"/>
      <c r="S233" s="278"/>
      <c r="T233" s="278"/>
      <c r="U233" s="156"/>
      <c r="V233" s="155"/>
      <c r="W233" s="269"/>
      <c r="X233" s="269"/>
      <c r="Y233" s="152"/>
      <c r="Z233" s="270"/>
      <c r="AA233" s="271"/>
      <c r="AB233" s="153"/>
      <c r="AC233" s="91"/>
      <c r="AD233" s="149"/>
      <c r="AE233" s="90"/>
      <c r="AF233" s="149"/>
      <c r="AG233" s="269"/>
      <c r="AH233" s="269"/>
      <c r="AI233" s="269"/>
      <c r="AJ233" s="269"/>
      <c r="AK233" s="269"/>
      <c r="AL233" s="269"/>
      <c r="AM233" s="269"/>
      <c r="AN233" s="269"/>
      <c r="AO233" s="283"/>
    </row>
    <row r="234" spans="1:41" ht="16.5" hidden="1" customHeight="1">
      <c r="A234" s="216"/>
      <c r="B234" s="208"/>
      <c r="C234" s="261"/>
      <c r="D234" s="262"/>
      <c r="E234" s="262"/>
      <c r="F234" s="262"/>
      <c r="G234" s="262"/>
      <c r="H234" s="263"/>
      <c r="I234" s="276"/>
      <c r="J234" s="277"/>
      <c r="K234" s="151"/>
      <c r="L234" s="194"/>
      <c r="M234" s="240"/>
      <c r="N234" s="241"/>
      <c r="O234" s="150"/>
      <c r="P234" s="154"/>
      <c r="Q234" s="242"/>
      <c r="R234" s="243"/>
      <c r="S234" s="278"/>
      <c r="T234" s="278"/>
      <c r="U234" s="156"/>
      <c r="V234" s="155"/>
      <c r="W234" s="269"/>
      <c r="X234" s="269"/>
      <c r="Y234" s="152"/>
      <c r="Z234" s="270"/>
      <c r="AA234" s="271"/>
      <c r="AB234" s="153"/>
      <c r="AC234" s="91"/>
      <c r="AD234" s="149"/>
      <c r="AE234" s="90"/>
      <c r="AF234" s="149"/>
      <c r="AG234" s="269"/>
      <c r="AH234" s="269"/>
      <c r="AI234" s="269"/>
      <c r="AJ234" s="269"/>
      <c r="AK234" s="269"/>
      <c r="AL234" s="269"/>
      <c r="AM234" s="269"/>
      <c r="AN234" s="269"/>
      <c r="AO234" s="283"/>
    </row>
    <row r="235" spans="1:41" ht="11.25" hidden="1" customHeight="1">
      <c r="A235" s="160"/>
      <c r="B235" s="198"/>
      <c r="C235" s="92"/>
      <c r="D235" s="92"/>
      <c r="E235" s="92"/>
      <c r="F235" s="92"/>
      <c r="G235" s="92"/>
      <c r="H235" s="92"/>
      <c r="I235" s="92"/>
      <c r="J235" s="92"/>
      <c r="K235" s="26"/>
      <c r="L235" s="59"/>
      <c r="M235" s="59"/>
      <c r="N235" s="59"/>
      <c r="O235" s="93"/>
      <c r="P235" s="93"/>
      <c r="Q235" s="59"/>
      <c r="R235" s="59"/>
      <c r="S235" s="59"/>
      <c r="T235" s="59"/>
      <c r="U235" s="61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  <c r="AO235" s="138"/>
    </row>
    <row r="236" spans="1:41" ht="18" hidden="1" customHeight="1">
      <c r="A236" s="144"/>
      <c r="B236" s="205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9"/>
      <c r="P236" s="9"/>
      <c r="Q236" s="8"/>
      <c r="R236" s="8"/>
      <c r="S236" s="8"/>
      <c r="T236" s="8"/>
      <c r="U236" s="10"/>
      <c r="V236" s="94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110"/>
    </row>
    <row r="237" spans="1:41" ht="7.15" hidden="1" customHeight="1">
      <c r="A237" s="111"/>
      <c r="U237" s="13"/>
      <c r="AO237" s="79"/>
    </row>
    <row r="238" spans="1:41" hidden="1">
      <c r="A238" s="111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7"/>
      <c r="U238" s="13"/>
      <c r="W238" s="268"/>
      <c r="X238" s="268"/>
      <c r="Y238" s="268"/>
      <c r="Z238" s="268"/>
      <c r="AA238" s="268"/>
      <c r="AB238" s="268"/>
      <c r="AC238" s="268"/>
      <c r="AD238" s="268"/>
      <c r="AE238" s="268"/>
      <c r="AF238" s="268"/>
      <c r="AG238" s="268"/>
      <c r="AH238" s="268"/>
      <c r="AI238" s="268"/>
      <c r="AJ238" s="268"/>
      <c r="AK238" s="268"/>
      <c r="AL238" s="95"/>
      <c r="AM238" s="7"/>
      <c r="AN238" s="95"/>
      <c r="AO238" s="79"/>
    </row>
    <row r="239" spans="1:41" ht="7.15" hidden="1" customHeight="1">
      <c r="A239" s="111"/>
      <c r="S239" s="29"/>
      <c r="U239" s="13"/>
      <c r="AO239" s="145"/>
    </row>
    <row r="240" spans="1:41" hidden="1">
      <c r="A240" s="111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7"/>
      <c r="U240" s="96"/>
      <c r="W240" s="268"/>
      <c r="X240" s="268"/>
      <c r="Y240" s="268"/>
      <c r="Z240" s="268"/>
      <c r="AA240" s="268"/>
      <c r="AB240" s="268"/>
      <c r="AC240" s="268"/>
      <c r="AD240" s="268"/>
      <c r="AE240" s="268"/>
      <c r="AF240" s="268"/>
      <c r="AG240" s="268"/>
      <c r="AH240" s="268"/>
      <c r="AI240" s="268"/>
      <c r="AJ240" s="268"/>
      <c r="AK240" s="268"/>
      <c r="AL240" s="95"/>
      <c r="AM240" s="7"/>
      <c r="AN240" s="95"/>
      <c r="AO240" s="79"/>
    </row>
    <row r="241" spans="1:41" ht="7.15" hidden="1" customHeight="1">
      <c r="A241" s="111"/>
      <c r="U241" s="13"/>
      <c r="AO241" s="79"/>
    </row>
    <row r="242" spans="1:41" hidden="1">
      <c r="A242" s="111"/>
      <c r="C242" s="288"/>
      <c r="D242" s="288"/>
      <c r="E242" s="288"/>
      <c r="F242" s="288"/>
      <c r="I242" s="289"/>
      <c r="J242" s="289"/>
      <c r="K242" s="289"/>
      <c r="O242" s="97"/>
      <c r="P242" s="97"/>
      <c r="Q242" s="98"/>
      <c r="R242" s="98"/>
      <c r="S242" s="98"/>
      <c r="T242" s="98"/>
      <c r="U242" s="13"/>
      <c r="X242" s="99"/>
      <c r="Y242" s="100"/>
      <c r="AA242" s="100"/>
      <c r="AB242" s="290"/>
      <c r="AC242" s="290"/>
      <c r="AD242" s="101"/>
      <c r="AE242" s="101"/>
      <c r="AG242" s="101"/>
      <c r="AI242" s="98"/>
      <c r="AJ242" s="98"/>
      <c r="AK242" s="98"/>
      <c r="AL242" s="98"/>
      <c r="AM242" s="98"/>
      <c r="AN242" s="98"/>
      <c r="AO242" s="79"/>
    </row>
    <row r="243" spans="1:41" ht="22.5" hidden="1" customHeight="1">
      <c r="A243" s="146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7"/>
      <c r="P243" s="97"/>
      <c r="Q243" s="98"/>
      <c r="R243" s="98"/>
      <c r="S243" s="98"/>
      <c r="T243" s="98"/>
      <c r="U243" s="147"/>
      <c r="V243" s="98"/>
      <c r="W243" s="98"/>
      <c r="X243" s="98"/>
      <c r="Y243" s="98"/>
      <c r="Z243" s="98"/>
      <c r="AA243" s="98"/>
      <c r="AB243" s="98"/>
      <c r="AC243" s="98"/>
      <c r="AD243" s="98"/>
      <c r="AE243" s="98"/>
      <c r="AF243" s="98"/>
      <c r="AG243" s="98"/>
      <c r="AH243" s="98"/>
      <c r="AI243" s="98"/>
      <c r="AJ243" s="98"/>
      <c r="AK243" s="98"/>
      <c r="AL243" s="98"/>
      <c r="AM243" s="98"/>
      <c r="AN243" s="98"/>
      <c r="AO243" s="148"/>
    </row>
    <row r="244" spans="1:41" ht="19.5" hidden="1" customHeight="1">
      <c r="A244" s="214"/>
      <c r="O244" s="58"/>
      <c r="Y244" s="291"/>
      <c r="Z244" s="291"/>
      <c r="AA244" s="291"/>
      <c r="AB244" s="291"/>
      <c r="AC244" s="291"/>
      <c r="AD244" s="291"/>
      <c r="AE244" s="291"/>
      <c r="AF244" s="291"/>
      <c r="AG244" s="291"/>
      <c r="AH244" s="291"/>
      <c r="AI244" s="291"/>
      <c r="AJ244" s="291"/>
      <c r="AK244" s="291"/>
      <c r="AL244" s="291"/>
      <c r="AM244" s="291"/>
      <c r="AN244" s="291"/>
      <c r="AO244" s="291"/>
    </row>
    <row r="245" spans="1:41" ht="12.75" hidden="1" customHeight="1">
      <c r="A245" s="131"/>
      <c r="B245" s="132"/>
      <c r="C245" s="132"/>
      <c r="D245" s="132"/>
      <c r="E245" s="132"/>
      <c r="F245" s="132"/>
      <c r="G245" s="132"/>
      <c r="H245" s="132"/>
      <c r="I245" s="132"/>
      <c r="J245" s="132"/>
      <c r="K245" s="132"/>
      <c r="L245" s="132"/>
      <c r="M245" s="132"/>
      <c r="N245" s="132"/>
      <c r="O245" s="133"/>
      <c r="P245" s="133"/>
      <c r="Q245" s="132"/>
      <c r="R245" s="132"/>
      <c r="S245" s="132"/>
      <c r="T245" s="132"/>
      <c r="U245" s="132"/>
      <c r="V245" s="132"/>
      <c r="W245" s="132"/>
      <c r="X245" s="132"/>
      <c r="Y245" s="134"/>
      <c r="Z245" s="132"/>
      <c r="AA245" s="132"/>
      <c r="AB245" s="132"/>
      <c r="AC245" s="132"/>
      <c r="AD245" s="132"/>
      <c r="AE245" s="132"/>
      <c r="AF245" s="132"/>
      <c r="AG245" s="132"/>
      <c r="AH245" s="132"/>
      <c r="AI245" s="132"/>
      <c r="AJ245" s="132"/>
      <c r="AK245" s="132"/>
      <c r="AL245" s="132"/>
      <c r="AM245" s="132"/>
      <c r="AN245" s="132"/>
      <c r="AO245" s="135"/>
    </row>
    <row r="246" spans="1:41" ht="18" hidden="1" customHeight="1">
      <c r="A246" s="136"/>
      <c r="B246" s="201"/>
      <c r="H246" s="284"/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  <c r="S246" s="12"/>
      <c r="T246" s="12"/>
      <c r="U246" s="12"/>
      <c r="AG246" s="285"/>
      <c r="AH246" s="285"/>
      <c r="AI246" s="2"/>
      <c r="AJ246" s="2"/>
      <c r="AK246" s="2"/>
      <c r="AO246" s="79"/>
    </row>
    <row r="247" spans="1:41" ht="16.149999999999999" hidden="1" customHeight="1">
      <c r="A247" s="112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5"/>
      <c r="P247" s="15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37"/>
    </row>
    <row r="248" spans="1:41" s="6" customFormat="1" ht="16.149999999999999" hidden="1" customHeight="1">
      <c r="A248" s="193"/>
      <c r="B248" s="202"/>
      <c r="C248" s="59"/>
      <c r="D248" s="59"/>
      <c r="E248" s="59"/>
      <c r="F248" s="59"/>
      <c r="G248" s="59"/>
      <c r="H248" s="59"/>
      <c r="I248" s="59"/>
      <c r="J248" s="59"/>
      <c r="K248" s="337"/>
      <c r="L248" s="337"/>
      <c r="M248" s="337"/>
      <c r="N248" s="337"/>
      <c r="O248" s="337"/>
      <c r="P248" s="337"/>
      <c r="Q248" s="337"/>
      <c r="R248" s="337"/>
      <c r="S248" s="337"/>
      <c r="T248" s="337"/>
      <c r="U248" s="59"/>
      <c r="V248" s="338"/>
      <c r="W248" s="339"/>
      <c r="X248" s="339"/>
      <c r="Y248" s="337"/>
      <c r="Z248" s="337"/>
      <c r="AA248" s="337"/>
      <c r="AB248" s="337"/>
      <c r="AC248" s="337"/>
      <c r="AD248" s="337"/>
      <c r="AE248" s="337"/>
      <c r="AF248" s="337"/>
      <c r="AG248" s="337"/>
      <c r="AH248" s="60"/>
      <c r="AI248" s="60"/>
      <c r="AJ248" s="59"/>
      <c r="AK248" s="59"/>
      <c r="AL248" s="59"/>
      <c r="AM248" s="59"/>
      <c r="AN248" s="59"/>
      <c r="AO248" s="138"/>
    </row>
    <row r="249" spans="1:41" s="6" customFormat="1" ht="16.149999999999999" hidden="1" customHeight="1">
      <c r="A249" s="139"/>
      <c r="B249" s="203"/>
      <c r="C249" s="309"/>
      <c r="D249" s="309"/>
      <c r="E249" s="309"/>
      <c r="F249" s="309"/>
      <c r="G249" s="62"/>
      <c r="H249" s="63"/>
      <c r="I249" s="310"/>
      <c r="J249" s="310"/>
      <c r="K249" s="310"/>
      <c r="L249" s="310"/>
      <c r="M249" s="310"/>
      <c r="N249" s="310"/>
      <c r="O249" s="64"/>
      <c r="P249" s="65"/>
      <c r="Q249" s="309"/>
      <c r="R249" s="309"/>
      <c r="S249" s="309"/>
      <c r="T249" s="309"/>
      <c r="U249" s="309"/>
      <c r="V249" s="311"/>
      <c r="W249" s="311"/>
      <c r="X249" s="312"/>
      <c r="Y249" s="313"/>
      <c r="Z249" s="314"/>
      <c r="AA249" s="315"/>
      <c r="AB249" s="320"/>
      <c r="AC249" s="321"/>
      <c r="AD249" s="323"/>
      <c r="AE249" s="323"/>
      <c r="AF249" s="323"/>
      <c r="AG249" s="323"/>
      <c r="AH249" s="323"/>
      <c r="AI249" s="323"/>
      <c r="AJ249" s="323"/>
      <c r="AK249" s="323"/>
      <c r="AL249" s="323"/>
      <c r="AM249" s="323"/>
      <c r="AN249" s="305"/>
      <c r="AO249" s="306"/>
    </row>
    <row r="250" spans="1:41" s="6" customFormat="1" ht="15" hidden="1" customHeight="1">
      <c r="A250" s="140"/>
      <c r="B250" s="196"/>
      <c r="C250" s="308"/>
      <c r="D250" s="308"/>
      <c r="E250" s="308"/>
      <c r="F250" s="308"/>
      <c r="G250" s="308"/>
      <c r="H250" s="308"/>
      <c r="I250" s="296"/>
      <c r="J250" s="296"/>
      <c r="K250" s="318"/>
      <c r="L250" s="319"/>
      <c r="M250" s="319"/>
      <c r="N250" s="319"/>
      <c r="O250" s="66"/>
      <c r="P250" s="67"/>
      <c r="Q250" s="319"/>
      <c r="R250" s="308"/>
      <c r="S250" s="296"/>
      <c r="T250" s="296"/>
      <c r="U250" s="68"/>
      <c r="V250" s="69"/>
      <c r="W250" s="308"/>
      <c r="X250" s="308"/>
      <c r="Y250" s="70"/>
      <c r="Z250" s="316"/>
      <c r="AA250" s="317"/>
      <c r="AB250" s="320"/>
      <c r="AC250" s="321"/>
      <c r="AD250" s="71"/>
      <c r="AE250" s="174"/>
      <c r="AF250" s="174"/>
      <c r="AG250" s="296"/>
      <c r="AH250" s="296"/>
      <c r="AI250" s="307"/>
      <c r="AJ250" s="307"/>
      <c r="AK250" s="308"/>
      <c r="AL250" s="308"/>
      <c r="AM250" s="308"/>
      <c r="AN250" s="305"/>
      <c r="AO250" s="306"/>
    </row>
    <row r="251" spans="1:41" ht="14.25" hidden="1" customHeight="1">
      <c r="A251" s="141"/>
      <c r="B251" s="210"/>
      <c r="C251" s="72"/>
      <c r="D251" s="72"/>
      <c r="E251" s="72"/>
      <c r="F251" s="72"/>
      <c r="G251" s="72"/>
      <c r="H251" s="73"/>
      <c r="I251" s="48"/>
      <c r="J251" s="49"/>
      <c r="K251" s="319"/>
      <c r="L251" s="319"/>
      <c r="M251" s="319"/>
      <c r="N251" s="324"/>
      <c r="O251" s="74"/>
      <c r="P251" s="75"/>
      <c r="Q251" s="325"/>
      <c r="R251" s="308"/>
      <c r="S251" s="6"/>
      <c r="T251" s="6"/>
      <c r="U251" s="76"/>
      <c r="V251" s="77"/>
      <c r="W251" s="326"/>
      <c r="X251" s="327"/>
      <c r="Y251" s="78"/>
      <c r="Z251" s="328"/>
      <c r="AA251" s="329"/>
      <c r="AB251" s="320"/>
      <c r="AC251" s="321"/>
      <c r="AD251" s="81"/>
      <c r="AE251" s="175"/>
      <c r="AF251" s="6"/>
      <c r="AG251" s="330"/>
      <c r="AH251" s="330"/>
      <c r="AI251" s="296"/>
      <c r="AJ251" s="296"/>
      <c r="AK251" s="6"/>
      <c r="AL251" s="6"/>
      <c r="AM251" s="6"/>
      <c r="AN251" s="305"/>
      <c r="AO251" s="306"/>
    </row>
    <row r="252" spans="1:41" ht="16.149999999999999" hidden="1" customHeight="1">
      <c r="A252" s="141"/>
      <c r="B252" s="210"/>
      <c r="C252" s="72"/>
      <c r="D252" s="72"/>
      <c r="E252" s="72"/>
      <c r="F252" s="72"/>
      <c r="G252" s="72"/>
      <c r="H252" s="72"/>
      <c r="I252" s="111"/>
      <c r="J252" s="79"/>
      <c r="K252" s="319"/>
      <c r="L252" s="319"/>
      <c r="M252" s="319"/>
      <c r="N252" s="324"/>
      <c r="O252" s="74"/>
      <c r="P252" s="75"/>
      <c r="Q252" s="325"/>
      <c r="R252" s="308"/>
      <c r="S252" s="331"/>
      <c r="T252" s="327"/>
      <c r="U252" s="80"/>
      <c r="V252" s="81"/>
      <c r="W252" s="332"/>
      <c r="X252" s="333"/>
      <c r="Y252" s="82"/>
      <c r="Z252" s="334"/>
      <c r="AA252" s="335"/>
      <c r="AB252" s="83"/>
      <c r="AC252" s="321"/>
      <c r="AD252" s="176"/>
      <c r="AE252" s="84"/>
      <c r="AF252" s="176"/>
      <c r="AG252" s="336"/>
      <c r="AH252" s="336"/>
      <c r="AI252" s="296"/>
      <c r="AJ252" s="296"/>
      <c r="AK252" s="308"/>
      <c r="AL252" s="308"/>
      <c r="AM252" s="308"/>
      <c r="AN252" s="305"/>
      <c r="AO252" s="306"/>
    </row>
    <row r="253" spans="1:41" ht="16.149999999999999" hidden="1" customHeight="1">
      <c r="A253" s="142"/>
      <c r="B253" s="211"/>
      <c r="I253" s="146"/>
      <c r="J253" s="79"/>
      <c r="M253" s="300"/>
      <c r="N253" s="300"/>
      <c r="O253" s="86"/>
      <c r="P253" s="87"/>
      <c r="Q253" s="266"/>
      <c r="R253" s="267"/>
      <c r="S253" s="11"/>
      <c r="T253" s="13"/>
      <c r="U253" s="85"/>
      <c r="V253" s="85"/>
      <c r="X253" s="13"/>
      <c r="Y253" s="88"/>
      <c r="AA253" s="79"/>
      <c r="AB253" s="89"/>
      <c r="AC253" s="322"/>
      <c r="AD253" s="13"/>
      <c r="AE253" s="85"/>
      <c r="AF253" s="85"/>
      <c r="AG253" s="11"/>
      <c r="AH253" s="13"/>
      <c r="AI253" s="301"/>
      <c r="AJ253" s="302"/>
      <c r="AK253" s="53"/>
      <c r="AL253" s="53"/>
      <c r="AM253" s="49"/>
      <c r="AN253" s="303"/>
      <c r="AO253" s="304"/>
    </row>
    <row r="254" spans="1:41" ht="16.149999999999999" hidden="1" customHeight="1">
      <c r="A254" s="216"/>
      <c r="B254" s="206"/>
      <c r="C254" s="272"/>
      <c r="D254" s="273"/>
      <c r="E254" s="273"/>
      <c r="F254" s="273"/>
      <c r="G254" s="273"/>
      <c r="H254" s="274"/>
      <c r="I254" s="264"/>
      <c r="J254" s="297"/>
      <c r="K254" s="151"/>
      <c r="L254" s="194"/>
      <c r="M254" s="240"/>
      <c r="N254" s="241"/>
      <c r="O254" s="150"/>
      <c r="P254" s="154"/>
      <c r="Q254" s="298"/>
      <c r="R254" s="299"/>
      <c r="S254" s="292"/>
      <c r="T254" s="292"/>
      <c r="U254" s="155"/>
      <c r="V254" s="155"/>
      <c r="W254" s="269"/>
      <c r="X254" s="269"/>
      <c r="Y254" s="152"/>
      <c r="Z254" s="270"/>
      <c r="AA254" s="271"/>
      <c r="AB254" s="153"/>
      <c r="AC254" s="91"/>
      <c r="AD254" s="149"/>
      <c r="AE254" s="90"/>
      <c r="AF254" s="149"/>
      <c r="AG254" s="269"/>
      <c r="AH254" s="269"/>
      <c r="AI254" s="269"/>
      <c r="AJ254" s="269"/>
      <c r="AK254" s="269"/>
      <c r="AL254" s="269"/>
      <c r="AM254" s="269"/>
      <c r="AN254" s="269"/>
      <c r="AO254" s="283"/>
    </row>
    <row r="255" spans="1:41" ht="16.149999999999999" hidden="1" customHeight="1">
      <c r="A255" s="216"/>
      <c r="B255" s="206"/>
      <c r="C255" s="272"/>
      <c r="D255" s="273"/>
      <c r="E255" s="273"/>
      <c r="F255" s="273"/>
      <c r="G255" s="273"/>
      <c r="H255" s="274"/>
      <c r="I255" s="264"/>
      <c r="J255" s="265"/>
      <c r="K255" s="151"/>
      <c r="L255" s="194"/>
      <c r="M255" s="240"/>
      <c r="N255" s="241"/>
      <c r="O255" s="150"/>
      <c r="P255" s="154"/>
      <c r="Q255" s="298"/>
      <c r="R255" s="299"/>
      <c r="S255" s="292"/>
      <c r="T255" s="292"/>
      <c r="U255" s="155"/>
      <c r="V255" s="155"/>
      <c r="W255" s="269"/>
      <c r="X255" s="269"/>
      <c r="Y255" s="152"/>
      <c r="Z255" s="270"/>
      <c r="AA255" s="271"/>
      <c r="AB255" s="153"/>
      <c r="AC255" s="91"/>
      <c r="AD255" s="149"/>
      <c r="AE255" s="90"/>
      <c r="AF255" s="149"/>
      <c r="AG255" s="269"/>
      <c r="AH255" s="269"/>
      <c r="AI255" s="269"/>
      <c r="AJ255" s="269"/>
      <c r="AK255" s="269"/>
      <c r="AL255" s="269"/>
      <c r="AM255" s="269"/>
      <c r="AN255" s="269"/>
      <c r="AO255" s="283"/>
    </row>
    <row r="256" spans="1:41" ht="16.149999999999999" hidden="1" customHeight="1">
      <c r="A256" s="216"/>
      <c r="B256" s="206"/>
      <c r="C256" s="272"/>
      <c r="D256" s="273"/>
      <c r="E256" s="273"/>
      <c r="F256" s="273"/>
      <c r="G256" s="273"/>
      <c r="H256" s="274"/>
      <c r="I256" s="264"/>
      <c r="J256" s="265"/>
      <c r="K256" s="151"/>
      <c r="L256" s="194"/>
      <c r="M256" s="240"/>
      <c r="N256" s="241"/>
      <c r="O256" s="150"/>
      <c r="P256" s="154"/>
      <c r="Q256" s="298"/>
      <c r="R256" s="299"/>
      <c r="S256" s="292"/>
      <c r="T256" s="292"/>
      <c r="U256" s="155"/>
      <c r="V256" s="155"/>
      <c r="W256" s="269"/>
      <c r="X256" s="269"/>
      <c r="Y256" s="152"/>
      <c r="Z256" s="270"/>
      <c r="AA256" s="271"/>
      <c r="AB256" s="153"/>
      <c r="AC256" s="91"/>
      <c r="AD256" s="149"/>
      <c r="AE256" s="90"/>
      <c r="AF256" s="149"/>
      <c r="AG256" s="269"/>
      <c r="AH256" s="269"/>
      <c r="AI256" s="269"/>
      <c r="AJ256" s="269"/>
      <c r="AK256" s="269"/>
      <c r="AL256" s="269"/>
      <c r="AM256" s="269"/>
      <c r="AN256" s="269"/>
      <c r="AO256" s="283"/>
    </row>
    <row r="257" spans="1:41" ht="16.149999999999999" hidden="1" customHeight="1">
      <c r="A257" s="216"/>
      <c r="B257" s="206"/>
      <c r="C257" s="272"/>
      <c r="D257" s="273"/>
      <c r="E257" s="273"/>
      <c r="F257" s="273"/>
      <c r="G257" s="273"/>
      <c r="H257" s="274"/>
      <c r="I257" s="264"/>
      <c r="J257" s="265"/>
      <c r="K257" s="151"/>
      <c r="L257" s="194"/>
      <c r="M257" s="240"/>
      <c r="N257" s="241"/>
      <c r="O257" s="150"/>
      <c r="P257" s="154"/>
      <c r="Q257" s="242"/>
      <c r="R257" s="243"/>
      <c r="S257" s="292"/>
      <c r="T257" s="292"/>
      <c r="U257" s="155"/>
      <c r="V257" s="155"/>
      <c r="W257" s="269"/>
      <c r="X257" s="269"/>
      <c r="Y257" s="152"/>
      <c r="Z257" s="270"/>
      <c r="AA257" s="271"/>
      <c r="AB257" s="153"/>
      <c r="AC257" s="91"/>
      <c r="AD257" s="149"/>
      <c r="AE257" s="90"/>
      <c r="AF257" s="149"/>
      <c r="AG257" s="269"/>
      <c r="AH257" s="269"/>
      <c r="AI257" s="269"/>
      <c r="AJ257" s="269"/>
      <c r="AK257" s="269"/>
      <c r="AL257" s="269"/>
      <c r="AM257" s="269"/>
      <c r="AN257" s="269"/>
      <c r="AO257" s="283"/>
    </row>
    <row r="258" spans="1:41" ht="16.149999999999999" hidden="1" customHeight="1">
      <c r="A258" s="216"/>
      <c r="B258" s="206"/>
      <c r="C258" s="272"/>
      <c r="D258" s="273"/>
      <c r="E258" s="273"/>
      <c r="F258" s="273"/>
      <c r="G258" s="273"/>
      <c r="H258" s="274"/>
      <c r="I258" s="264"/>
      <c r="J258" s="265"/>
      <c r="K258" s="151"/>
      <c r="L258" s="194"/>
      <c r="M258" s="240"/>
      <c r="N258" s="241"/>
      <c r="O258" s="150"/>
      <c r="P258" s="154"/>
      <c r="Q258" s="242"/>
      <c r="R258" s="243"/>
      <c r="S258" s="292"/>
      <c r="T258" s="292"/>
      <c r="U258" s="155"/>
      <c r="V258" s="155"/>
      <c r="W258" s="269"/>
      <c r="X258" s="269"/>
      <c r="Y258" s="152"/>
      <c r="Z258" s="270"/>
      <c r="AA258" s="271"/>
      <c r="AB258" s="153"/>
      <c r="AC258" s="91"/>
      <c r="AD258" s="149"/>
      <c r="AE258" s="90"/>
      <c r="AF258" s="149"/>
      <c r="AG258" s="269"/>
      <c r="AH258" s="269"/>
      <c r="AI258" s="269"/>
      <c r="AJ258" s="269"/>
      <c r="AK258" s="269"/>
      <c r="AL258" s="269"/>
      <c r="AM258" s="269"/>
      <c r="AN258" s="269"/>
      <c r="AO258" s="283"/>
    </row>
    <row r="259" spans="1:41" ht="16.149999999999999" hidden="1" customHeight="1">
      <c r="A259" s="216"/>
      <c r="B259" s="206"/>
      <c r="C259" s="272"/>
      <c r="D259" s="273"/>
      <c r="E259" s="273"/>
      <c r="F259" s="273"/>
      <c r="G259" s="273"/>
      <c r="H259" s="274"/>
      <c r="I259" s="264"/>
      <c r="J259" s="265"/>
      <c r="K259" s="151"/>
      <c r="L259" s="194"/>
      <c r="M259" s="240"/>
      <c r="N259" s="241"/>
      <c r="O259" s="150"/>
      <c r="P259" s="154"/>
      <c r="Q259" s="242"/>
      <c r="R259" s="243"/>
      <c r="S259" s="292"/>
      <c r="T259" s="292"/>
      <c r="U259" s="155"/>
      <c r="V259" s="155"/>
      <c r="W259" s="269"/>
      <c r="X259" s="269"/>
      <c r="Y259" s="152"/>
      <c r="Z259" s="270"/>
      <c r="AA259" s="271"/>
      <c r="AB259" s="153"/>
      <c r="AC259" s="91"/>
      <c r="AD259" s="149"/>
      <c r="AE259" s="90"/>
      <c r="AF259" s="149"/>
      <c r="AG259" s="269"/>
      <c r="AH259" s="269"/>
      <c r="AI259" s="269"/>
      <c r="AJ259" s="269"/>
      <c r="AK259" s="269"/>
      <c r="AL259" s="269"/>
      <c r="AM259" s="269"/>
      <c r="AN259" s="269"/>
      <c r="AO259" s="283"/>
    </row>
    <row r="260" spans="1:41" ht="16.149999999999999" hidden="1" customHeight="1">
      <c r="A260" s="216"/>
      <c r="B260" s="206"/>
      <c r="C260" s="272"/>
      <c r="D260" s="273"/>
      <c r="E260" s="273"/>
      <c r="F260" s="273"/>
      <c r="G260" s="273"/>
      <c r="H260" s="274"/>
      <c r="I260" s="264"/>
      <c r="J260" s="265"/>
      <c r="K260" s="151"/>
      <c r="L260" s="194"/>
      <c r="M260" s="240"/>
      <c r="N260" s="241"/>
      <c r="O260" s="150"/>
      <c r="P260" s="154"/>
      <c r="Q260" s="242"/>
      <c r="R260" s="243"/>
      <c r="S260" s="292"/>
      <c r="T260" s="292"/>
      <c r="U260" s="155"/>
      <c r="V260" s="155"/>
      <c r="W260" s="269"/>
      <c r="X260" s="269"/>
      <c r="Y260" s="152"/>
      <c r="Z260" s="270"/>
      <c r="AA260" s="271"/>
      <c r="AB260" s="153"/>
      <c r="AC260" s="91"/>
      <c r="AD260" s="149"/>
      <c r="AE260" s="90"/>
      <c r="AF260" s="149"/>
      <c r="AG260" s="269"/>
      <c r="AH260" s="269"/>
      <c r="AI260" s="269"/>
      <c r="AJ260" s="269"/>
      <c r="AK260" s="269"/>
      <c r="AL260" s="269"/>
      <c r="AM260" s="269"/>
      <c r="AN260" s="269"/>
      <c r="AO260" s="283"/>
    </row>
    <row r="261" spans="1:41" ht="16.149999999999999" hidden="1" customHeight="1">
      <c r="A261" s="216"/>
      <c r="B261" s="206"/>
      <c r="C261" s="272"/>
      <c r="D261" s="273"/>
      <c r="E261" s="273"/>
      <c r="F261" s="273"/>
      <c r="G261" s="273"/>
      <c r="H261" s="274"/>
      <c r="I261" s="264"/>
      <c r="J261" s="265"/>
      <c r="K261" s="151"/>
      <c r="L261" s="194"/>
      <c r="M261" s="240"/>
      <c r="N261" s="241"/>
      <c r="O261" s="150"/>
      <c r="P261" s="154"/>
      <c r="Q261" s="242"/>
      <c r="R261" s="243"/>
      <c r="S261" s="292"/>
      <c r="T261" s="292"/>
      <c r="U261" s="155"/>
      <c r="V261" s="155"/>
      <c r="W261" s="269"/>
      <c r="X261" s="269"/>
      <c r="Y261" s="152"/>
      <c r="Z261" s="270"/>
      <c r="AA261" s="271"/>
      <c r="AB261" s="153"/>
      <c r="AC261" s="91"/>
      <c r="AD261" s="149"/>
      <c r="AE261" s="90"/>
      <c r="AF261" s="149"/>
      <c r="AG261" s="269"/>
      <c r="AH261" s="269"/>
      <c r="AI261" s="269"/>
      <c r="AJ261" s="269"/>
      <c r="AK261" s="269"/>
      <c r="AL261" s="269"/>
      <c r="AM261" s="269"/>
      <c r="AN261" s="269"/>
      <c r="AO261" s="283"/>
    </row>
    <row r="262" spans="1:41" ht="16.149999999999999" hidden="1" customHeight="1">
      <c r="A262" s="216"/>
      <c r="B262" s="206"/>
      <c r="C262" s="272"/>
      <c r="D262" s="273"/>
      <c r="E262" s="273"/>
      <c r="F262" s="273"/>
      <c r="G262" s="273"/>
      <c r="H262" s="274"/>
      <c r="I262" s="264"/>
      <c r="J262" s="265"/>
      <c r="K262" s="151"/>
      <c r="L262" s="194"/>
      <c r="M262" s="240"/>
      <c r="N262" s="241"/>
      <c r="O262" s="150"/>
      <c r="P262" s="154"/>
      <c r="Q262" s="242"/>
      <c r="R262" s="243"/>
      <c r="S262" s="292"/>
      <c r="T262" s="292"/>
      <c r="U262" s="155"/>
      <c r="V262" s="155"/>
      <c r="W262" s="269"/>
      <c r="X262" s="269"/>
      <c r="Y262" s="152"/>
      <c r="Z262" s="270"/>
      <c r="AA262" s="271"/>
      <c r="AB262" s="153"/>
      <c r="AC262" s="91"/>
      <c r="AD262" s="149"/>
      <c r="AE262" s="90"/>
      <c r="AF262" s="149"/>
      <c r="AG262" s="269"/>
      <c r="AH262" s="269"/>
      <c r="AI262" s="269"/>
      <c r="AJ262" s="269"/>
      <c r="AK262" s="269"/>
      <c r="AL262" s="269"/>
      <c r="AM262" s="269"/>
      <c r="AN262" s="269"/>
      <c r="AO262" s="283"/>
    </row>
    <row r="263" spans="1:41" ht="16.149999999999999" hidden="1" customHeight="1">
      <c r="A263" s="216"/>
      <c r="B263" s="206"/>
      <c r="C263" s="272"/>
      <c r="D263" s="273"/>
      <c r="E263" s="273"/>
      <c r="F263" s="273"/>
      <c r="G263" s="273"/>
      <c r="H263" s="274"/>
      <c r="I263" s="264"/>
      <c r="J263" s="265"/>
      <c r="K263" s="151"/>
      <c r="L263" s="194"/>
      <c r="M263" s="240"/>
      <c r="N263" s="241"/>
      <c r="O263" s="150"/>
      <c r="P263" s="154"/>
      <c r="Q263" s="242"/>
      <c r="R263" s="243"/>
      <c r="S263" s="292"/>
      <c r="T263" s="292"/>
      <c r="U263" s="155"/>
      <c r="V263" s="155"/>
      <c r="W263" s="269"/>
      <c r="X263" s="269"/>
      <c r="Y263" s="152"/>
      <c r="Z263" s="270"/>
      <c r="AA263" s="271"/>
      <c r="AB263" s="153"/>
      <c r="AC263" s="91"/>
      <c r="AD263" s="149"/>
      <c r="AE263" s="90"/>
      <c r="AF263" s="149"/>
      <c r="AG263" s="269"/>
      <c r="AH263" s="269"/>
      <c r="AI263" s="269"/>
      <c r="AJ263" s="269"/>
      <c r="AK263" s="269"/>
      <c r="AL263" s="269"/>
      <c r="AM263" s="269"/>
      <c r="AN263" s="269"/>
      <c r="AO263" s="283"/>
    </row>
    <row r="264" spans="1:41" ht="16.149999999999999" hidden="1" customHeight="1">
      <c r="A264" s="216"/>
      <c r="B264" s="206"/>
      <c r="C264" s="293"/>
      <c r="D264" s="294"/>
      <c r="E264" s="294"/>
      <c r="F264" s="294"/>
      <c r="G264" s="294"/>
      <c r="H264" s="295"/>
      <c r="I264" s="264"/>
      <c r="J264" s="265"/>
      <c r="K264" s="151"/>
      <c r="L264" s="194"/>
      <c r="M264" s="240"/>
      <c r="N264" s="241"/>
      <c r="O264" s="150"/>
      <c r="P264" s="154"/>
      <c r="Q264" s="242"/>
      <c r="R264" s="243"/>
      <c r="S264" s="292"/>
      <c r="T264" s="292"/>
      <c r="U264" s="155"/>
      <c r="V264" s="155"/>
      <c r="W264" s="269"/>
      <c r="X264" s="269"/>
      <c r="Y264" s="152"/>
      <c r="Z264" s="270"/>
      <c r="AA264" s="271"/>
      <c r="AB264" s="153"/>
      <c r="AC264" s="91"/>
      <c r="AD264" s="149"/>
      <c r="AE264" s="90"/>
      <c r="AF264" s="149"/>
      <c r="AG264" s="269"/>
      <c r="AH264" s="269"/>
      <c r="AI264" s="269"/>
      <c r="AJ264" s="269"/>
      <c r="AK264" s="269"/>
      <c r="AL264" s="269"/>
      <c r="AM264" s="269"/>
      <c r="AN264" s="269"/>
      <c r="AO264" s="283"/>
    </row>
    <row r="265" spans="1:41" ht="16.149999999999999" hidden="1" customHeight="1">
      <c r="A265" s="216"/>
      <c r="B265" s="206"/>
      <c r="C265" s="272"/>
      <c r="D265" s="273"/>
      <c r="E265" s="273"/>
      <c r="F265" s="273"/>
      <c r="G265" s="273"/>
      <c r="H265" s="274"/>
      <c r="I265" s="264"/>
      <c r="J265" s="265"/>
      <c r="K265" s="151"/>
      <c r="L265" s="194"/>
      <c r="M265" s="240"/>
      <c r="N265" s="241"/>
      <c r="O265" s="150"/>
      <c r="P265" s="154"/>
      <c r="Q265" s="242"/>
      <c r="R265" s="243"/>
      <c r="S265" s="292"/>
      <c r="T265" s="292"/>
      <c r="U265" s="155"/>
      <c r="V265" s="155"/>
      <c r="W265" s="269"/>
      <c r="X265" s="269"/>
      <c r="Y265" s="152"/>
      <c r="Z265" s="270"/>
      <c r="AA265" s="271"/>
      <c r="AB265" s="153"/>
      <c r="AC265" s="91"/>
      <c r="AD265" s="149"/>
      <c r="AE265" s="90"/>
      <c r="AF265" s="149"/>
      <c r="AG265" s="269"/>
      <c r="AH265" s="269"/>
      <c r="AI265" s="269"/>
      <c r="AJ265" s="269"/>
      <c r="AK265" s="269"/>
      <c r="AL265" s="269"/>
      <c r="AM265" s="269"/>
      <c r="AN265" s="269"/>
      <c r="AO265" s="283"/>
    </row>
    <row r="266" spans="1:41" ht="16.149999999999999" hidden="1" customHeight="1">
      <c r="A266" s="216"/>
      <c r="B266" s="206"/>
      <c r="C266" s="272"/>
      <c r="D266" s="273"/>
      <c r="E266" s="273"/>
      <c r="F266" s="273"/>
      <c r="G266" s="273"/>
      <c r="H266" s="274"/>
      <c r="I266" s="264"/>
      <c r="J266" s="265"/>
      <c r="K266" s="151"/>
      <c r="L266" s="194"/>
      <c r="M266" s="240"/>
      <c r="N266" s="241"/>
      <c r="O266" s="150"/>
      <c r="P266" s="154"/>
      <c r="Q266" s="242"/>
      <c r="R266" s="243"/>
      <c r="S266" s="292"/>
      <c r="T266" s="292"/>
      <c r="U266" s="155"/>
      <c r="V266" s="155"/>
      <c r="W266" s="269"/>
      <c r="X266" s="269"/>
      <c r="Y266" s="152"/>
      <c r="Z266" s="270"/>
      <c r="AA266" s="271"/>
      <c r="AB266" s="153"/>
      <c r="AC266" s="91"/>
      <c r="AD266" s="149"/>
      <c r="AE266" s="90"/>
      <c r="AF266" s="149"/>
      <c r="AG266" s="269"/>
      <c r="AH266" s="269"/>
      <c r="AI266" s="269"/>
      <c r="AJ266" s="269"/>
      <c r="AK266" s="269"/>
      <c r="AL266" s="269"/>
      <c r="AM266" s="269"/>
      <c r="AN266" s="269"/>
      <c r="AO266" s="283"/>
    </row>
    <row r="267" spans="1:41" ht="16.149999999999999" hidden="1" customHeight="1">
      <c r="A267" s="216"/>
      <c r="B267" s="206"/>
      <c r="C267" s="272"/>
      <c r="D267" s="273"/>
      <c r="E267" s="273"/>
      <c r="F267" s="273"/>
      <c r="G267" s="273"/>
      <c r="H267" s="274"/>
      <c r="I267" s="264"/>
      <c r="J267" s="265"/>
      <c r="K267" s="151"/>
      <c r="L267" s="194"/>
      <c r="M267" s="240"/>
      <c r="N267" s="241"/>
      <c r="O267" s="150"/>
      <c r="P267" s="154"/>
      <c r="Q267" s="242"/>
      <c r="R267" s="243"/>
      <c r="S267" s="292"/>
      <c r="T267" s="292"/>
      <c r="U267" s="155"/>
      <c r="V267" s="155"/>
      <c r="W267" s="269"/>
      <c r="X267" s="269"/>
      <c r="Y267" s="152"/>
      <c r="Z267" s="270"/>
      <c r="AA267" s="271"/>
      <c r="AB267" s="153"/>
      <c r="AC267" s="91"/>
      <c r="AD267" s="149"/>
      <c r="AE267" s="90"/>
      <c r="AF267" s="149"/>
      <c r="AG267" s="269"/>
      <c r="AH267" s="269"/>
      <c r="AI267" s="269"/>
      <c r="AJ267" s="269"/>
      <c r="AK267" s="269"/>
      <c r="AL267" s="269"/>
      <c r="AM267" s="269"/>
      <c r="AN267" s="269"/>
      <c r="AO267" s="283"/>
    </row>
    <row r="268" spans="1:41" ht="16.149999999999999" hidden="1" customHeight="1">
      <c r="A268" s="216"/>
      <c r="B268" s="206"/>
      <c r="C268" s="272"/>
      <c r="D268" s="273"/>
      <c r="E268" s="273"/>
      <c r="F268" s="273"/>
      <c r="G268" s="273"/>
      <c r="H268" s="274"/>
      <c r="I268" s="264"/>
      <c r="J268" s="265"/>
      <c r="K268" s="151"/>
      <c r="L268" s="194"/>
      <c r="M268" s="240"/>
      <c r="N268" s="241"/>
      <c r="O268" s="150"/>
      <c r="P268" s="154"/>
      <c r="Q268" s="242"/>
      <c r="R268" s="243"/>
      <c r="S268" s="292"/>
      <c r="T268" s="292"/>
      <c r="U268" s="155"/>
      <c r="V268" s="155"/>
      <c r="W268" s="269"/>
      <c r="X268" s="269"/>
      <c r="Y268" s="152"/>
      <c r="Z268" s="270"/>
      <c r="AA268" s="271"/>
      <c r="AB268" s="153"/>
      <c r="AC268" s="91"/>
      <c r="AD268" s="149"/>
      <c r="AE268" s="90"/>
      <c r="AF268" s="149"/>
      <c r="AG268" s="269"/>
      <c r="AH268" s="269"/>
      <c r="AI268" s="269"/>
      <c r="AJ268" s="269"/>
      <c r="AK268" s="269"/>
      <c r="AL268" s="269"/>
      <c r="AM268" s="269"/>
      <c r="AN268" s="269"/>
      <c r="AO268" s="283"/>
    </row>
    <row r="269" spans="1:41" ht="16.149999999999999" hidden="1" customHeight="1">
      <c r="A269" s="216"/>
      <c r="B269" s="206"/>
      <c r="C269" s="272"/>
      <c r="D269" s="273"/>
      <c r="E269" s="273"/>
      <c r="F269" s="273"/>
      <c r="G269" s="273"/>
      <c r="H269" s="274"/>
      <c r="I269" s="264"/>
      <c r="J269" s="265"/>
      <c r="K269" s="151"/>
      <c r="L269" s="194"/>
      <c r="M269" s="240"/>
      <c r="N269" s="241"/>
      <c r="O269" s="150"/>
      <c r="P269" s="154"/>
      <c r="Q269" s="242"/>
      <c r="R269" s="243"/>
      <c r="S269" s="292"/>
      <c r="T269" s="292"/>
      <c r="U269" s="155"/>
      <c r="V269" s="155"/>
      <c r="W269" s="269"/>
      <c r="X269" s="269"/>
      <c r="Y269" s="152"/>
      <c r="Z269" s="270"/>
      <c r="AA269" s="271"/>
      <c r="AB269" s="153"/>
      <c r="AC269" s="91"/>
      <c r="AD269" s="149"/>
      <c r="AE269" s="90"/>
      <c r="AF269" s="149"/>
      <c r="AG269" s="269"/>
      <c r="AH269" s="269"/>
      <c r="AI269" s="269"/>
      <c r="AJ269" s="269"/>
      <c r="AK269" s="269"/>
      <c r="AL269" s="269"/>
      <c r="AM269" s="269"/>
      <c r="AN269" s="269"/>
      <c r="AO269" s="283"/>
    </row>
    <row r="270" spans="1:41" ht="16.149999999999999" hidden="1" customHeight="1">
      <c r="A270" s="216"/>
      <c r="B270" s="206"/>
      <c r="C270" s="272"/>
      <c r="D270" s="273"/>
      <c r="E270" s="273"/>
      <c r="F270" s="273"/>
      <c r="G270" s="273"/>
      <c r="H270" s="274"/>
      <c r="I270" s="264"/>
      <c r="J270" s="265"/>
      <c r="K270" s="151"/>
      <c r="L270" s="194"/>
      <c r="M270" s="240"/>
      <c r="N270" s="241"/>
      <c r="O270" s="150"/>
      <c r="P270" s="154"/>
      <c r="Q270" s="242"/>
      <c r="R270" s="243"/>
      <c r="S270" s="292"/>
      <c r="T270" s="292"/>
      <c r="U270" s="155"/>
      <c r="V270" s="155"/>
      <c r="W270" s="269"/>
      <c r="X270" s="269"/>
      <c r="Y270" s="152"/>
      <c r="Z270" s="270"/>
      <c r="AA270" s="271"/>
      <c r="AB270" s="153"/>
      <c r="AC270" s="91"/>
      <c r="AD270" s="149"/>
      <c r="AE270" s="90"/>
      <c r="AF270" s="149"/>
      <c r="AG270" s="269"/>
      <c r="AH270" s="269"/>
      <c r="AI270" s="269"/>
      <c r="AJ270" s="269"/>
      <c r="AK270" s="269"/>
      <c r="AL270" s="269"/>
      <c r="AM270" s="269"/>
      <c r="AN270" s="269"/>
      <c r="AO270" s="283"/>
    </row>
    <row r="271" spans="1:41" ht="16.149999999999999" hidden="1" customHeight="1">
      <c r="A271" s="217"/>
      <c r="B271" s="207"/>
      <c r="C271" s="272"/>
      <c r="D271" s="273"/>
      <c r="E271" s="273"/>
      <c r="F271" s="273"/>
      <c r="G271" s="273"/>
      <c r="H271" s="274"/>
      <c r="I271" s="264"/>
      <c r="J271" s="265"/>
      <c r="K271" s="151"/>
      <c r="L271" s="194"/>
      <c r="M271" s="240"/>
      <c r="N271" s="241"/>
      <c r="O271" s="150"/>
      <c r="P271" s="154"/>
      <c r="Q271" s="242"/>
      <c r="R271" s="243"/>
      <c r="S271" s="292"/>
      <c r="T271" s="292"/>
      <c r="U271" s="155"/>
      <c r="V271" s="155"/>
      <c r="W271" s="269"/>
      <c r="X271" s="269"/>
      <c r="Y271" s="152"/>
      <c r="Z271" s="270"/>
      <c r="AA271" s="271"/>
      <c r="AB271" s="153"/>
      <c r="AC271" s="91"/>
      <c r="AD271" s="149"/>
      <c r="AE271" s="90"/>
      <c r="AF271" s="149"/>
      <c r="AG271" s="269"/>
      <c r="AH271" s="269"/>
      <c r="AI271" s="269"/>
      <c r="AJ271" s="269"/>
      <c r="AK271" s="269"/>
      <c r="AL271" s="269"/>
      <c r="AM271" s="269"/>
      <c r="AN271" s="269"/>
      <c r="AO271" s="283"/>
    </row>
    <row r="272" spans="1:41" ht="16.149999999999999" hidden="1" customHeight="1">
      <c r="A272" s="217"/>
      <c r="B272" s="207"/>
      <c r="C272" s="272"/>
      <c r="D272" s="273"/>
      <c r="E272" s="273"/>
      <c r="F272" s="273"/>
      <c r="G272" s="273"/>
      <c r="H272" s="274"/>
      <c r="I272" s="264"/>
      <c r="J272" s="265"/>
      <c r="K272" s="151"/>
      <c r="L272" s="194"/>
      <c r="M272" s="240"/>
      <c r="N272" s="241"/>
      <c r="O272" s="150"/>
      <c r="P272" s="154"/>
      <c r="Q272" s="242"/>
      <c r="R272" s="243"/>
      <c r="S272" s="292"/>
      <c r="T272" s="292"/>
      <c r="U272" s="155"/>
      <c r="V272" s="155"/>
      <c r="W272" s="269"/>
      <c r="X272" s="269"/>
      <c r="Y272" s="152"/>
      <c r="Z272" s="270"/>
      <c r="AA272" s="271"/>
      <c r="AB272" s="153"/>
      <c r="AC272" s="91"/>
      <c r="AD272" s="149"/>
      <c r="AE272" s="90"/>
      <c r="AF272" s="149"/>
      <c r="AG272" s="269"/>
      <c r="AH272" s="269"/>
      <c r="AI272" s="269"/>
      <c r="AJ272" s="269"/>
      <c r="AK272" s="269"/>
      <c r="AL272" s="269"/>
      <c r="AM272" s="269"/>
      <c r="AN272" s="269"/>
      <c r="AO272" s="283"/>
    </row>
    <row r="273" spans="1:41" ht="16.5" hidden="1" customHeight="1">
      <c r="A273" s="217"/>
      <c r="B273" s="207"/>
      <c r="C273" s="272"/>
      <c r="D273" s="273"/>
      <c r="E273" s="273"/>
      <c r="F273" s="273"/>
      <c r="G273" s="273"/>
      <c r="H273" s="274"/>
      <c r="I273" s="264"/>
      <c r="J273" s="265"/>
      <c r="K273" s="151"/>
      <c r="L273" s="194"/>
      <c r="M273" s="240"/>
      <c r="N273" s="241"/>
      <c r="O273" s="150"/>
      <c r="P273" s="154"/>
      <c r="Q273" s="242"/>
      <c r="R273" s="243"/>
      <c r="S273" s="292"/>
      <c r="T273" s="292"/>
      <c r="U273" s="155"/>
      <c r="V273" s="155"/>
      <c r="W273" s="269"/>
      <c r="X273" s="269"/>
      <c r="Y273" s="152"/>
      <c r="Z273" s="270"/>
      <c r="AA273" s="271"/>
      <c r="AB273" s="153"/>
      <c r="AC273" s="91"/>
      <c r="AD273" s="149"/>
      <c r="AE273" s="90"/>
      <c r="AF273" s="149"/>
      <c r="AG273" s="269"/>
      <c r="AH273" s="269"/>
      <c r="AI273" s="269"/>
      <c r="AJ273" s="269"/>
      <c r="AK273" s="269"/>
      <c r="AL273" s="269"/>
      <c r="AM273" s="269"/>
      <c r="AN273" s="269"/>
      <c r="AO273" s="283"/>
    </row>
    <row r="274" spans="1:41" ht="16.5" hidden="1" customHeight="1">
      <c r="A274" s="216"/>
      <c r="B274" s="208"/>
      <c r="C274" s="272"/>
      <c r="D274" s="273"/>
      <c r="E274" s="273"/>
      <c r="F274" s="273"/>
      <c r="G274" s="273"/>
      <c r="H274" s="274"/>
      <c r="I274" s="276"/>
      <c r="J274" s="277"/>
      <c r="K274" s="151"/>
      <c r="L274" s="194"/>
      <c r="M274" s="240"/>
      <c r="N274" s="241"/>
      <c r="O274" s="150"/>
      <c r="P274" s="154"/>
      <c r="Q274" s="242"/>
      <c r="R274" s="243"/>
      <c r="S274" s="278"/>
      <c r="T274" s="278"/>
      <c r="U274" s="156"/>
      <c r="V274" s="155"/>
      <c r="W274" s="269"/>
      <c r="X274" s="269"/>
      <c r="Y274" s="152"/>
      <c r="Z274" s="270"/>
      <c r="AA274" s="271"/>
      <c r="AB274" s="153"/>
      <c r="AC274" s="91"/>
      <c r="AD274" s="149"/>
      <c r="AE274" s="90"/>
      <c r="AF274" s="149"/>
      <c r="AG274" s="269"/>
      <c r="AH274" s="269"/>
      <c r="AI274" s="269"/>
      <c r="AJ274" s="269"/>
      <c r="AK274" s="269"/>
      <c r="AL274" s="269"/>
      <c r="AM274" s="269"/>
      <c r="AN274" s="269"/>
      <c r="AO274" s="283"/>
    </row>
    <row r="275" spans="1:41" ht="16.5" hidden="1" customHeight="1">
      <c r="A275" s="216"/>
      <c r="B275" s="208"/>
      <c r="C275" s="272"/>
      <c r="D275" s="273"/>
      <c r="E275" s="273"/>
      <c r="F275" s="273"/>
      <c r="G275" s="273"/>
      <c r="H275" s="274"/>
      <c r="I275" s="276"/>
      <c r="J275" s="277"/>
      <c r="K275" s="151"/>
      <c r="L275" s="194"/>
      <c r="M275" s="240"/>
      <c r="N275" s="241"/>
      <c r="O275" s="150"/>
      <c r="P275" s="154"/>
      <c r="Q275" s="242"/>
      <c r="R275" s="243"/>
      <c r="S275" s="278"/>
      <c r="T275" s="278"/>
      <c r="U275" s="156"/>
      <c r="V275" s="155"/>
      <c r="W275" s="269"/>
      <c r="X275" s="269"/>
      <c r="Y275" s="152"/>
      <c r="Z275" s="270"/>
      <c r="AA275" s="271"/>
      <c r="AB275" s="153"/>
      <c r="AC275" s="91"/>
      <c r="AD275" s="149"/>
      <c r="AE275" s="90"/>
      <c r="AF275" s="149"/>
      <c r="AG275" s="269"/>
      <c r="AH275" s="269"/>
      <c r="AI275" s="269"/>
      <c r="AJ275" s="269"/>
      <c r="AK275" s="269"/>
      <c r="AL275" s="269"/>
      <c r="AM275" s="269"/>
      <c r="AN275" s="269"/>
      <c r="AO275" s="283"/>
    </row>
    <row r="276" spans="1:41" ht="11.25" hidden="1" customHeight="1">
      <c r="A276" s="160"/>
      <c r="B276" s="198"/>
      <c r="C276" s="92"/>
      <c r="D276" s="92"/>
      <c r="E276" s="92"/>
      <c r="F276" s="92"/>
      <c r="G276" s="92"/>
      <c r="H276" s="92"/>
      <c r="I276" s="92"/>
      <c r="J276" s="92"/>
      <c r="K276" s="26"/>
      <c r="L276" s="59"/>
      <c r="M276" s="59"/>
      <c r="N276" s="59"/>
      <c r="O276" s="93"/>
      <c r="P276" s="93"/>
      <c r="Q276" s="59"/>
      <c r="R276" s="59"/>
      <c r="S276" s="59"/>
      <c r="T276" s="59"/>
      <c r="U276" s="61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2"/>
      <c r="AL276" s="92"/>
      <c r="AO276" s="138"/>
    </row>
    <row r="277" spans="1:41" ht="18" hidden="1" customHeight="1">
      <c r="A277" s="144"/>
      <c r="B277" s="205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9"/>
      <c r="P277" s="9"/>
      <c r="Q277" s="8"/>
      <c r="R277" s="8"/>
      <c r="S277" s="8"/>
      <c r="T277" s="8"/>
      <c r="U277" s="10"/>
      <c r="V277" s="94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110"/>
    </row>
    <row r="278" spans="1:41" ht="7.15" hidden="1" customHeight="1">
      <c r="A278" s="111"/>
      <c r="U278" s="13"/>
      <c r="AO278" s="79"/>
    </row>
    <row r="279" spans="1:41" hidden="1">
      <c r="A279" s="111"/>
      <c r="E279" s="268"/>
      <c r="F279" s="268"/>
      <c r="G279" s="268"/>
      <c r="H279" s="268"/>
      <c r="I279" s="268"/>
      <c r="J279" s="268"/>
      <c r="K279" s="268"/>
      <c r="L279" s="268"/>
      <c r="M279" s="268"/>
      <c r="N279" s="268"/>
      <c r="O279" s="268"/>
      <c r="P279" s="268"/>
      <c r="Q279" s="268"/>
      <c r="R279" s="268"/>
      <c r="S279" s="7"/>
      <c r="U279" s="13"/>
      <c r="W279" s="268"/>
      <c r="X279" s="268"/>
      <c r="Y279" s="268"/>
      <c r="Z279" s="268"/>
      <c r="AA279" s="268"/>
      <c r="AB279" s="268"/>
      <c r="AC279" s="268"/>
      <c r="AD279" s="268"/>
      <c r="AE279" s="268"/>
      <c r="AF279" s="268"/>
      <c r="AG279" s="268"/>
      <c r="AH279" s="268"/>
      <c r="AI279" s="268"/>
      <c r="AJ279" s="268"/>
      <c r="AK279" s="268"/>
      <c r="AL279" s="95"/>
      <c r="AM279" s="7"/>
      <c r="AN279" s="95"/>
      <c r="AO279" s="79"/>
    </row>
    <row r="280" spans="1:41" ht="7.15" hidden="1" customHeight="1">
      <c r="A280" s="111"/>
      <c r="S280" s="29"/>
      <c r="U280" s="13"/>
      <c r="AO280" s="145"/>
    </row>
    <row r="281" spans="1:41" hidden="1">
      <c r="A281" s="111"/>
      <c r="E281" s="268"/>
      <c r="F281" s="268"/>
      <c r="G281" s="268"/>
      <c r="H281" s="268"/>
      <c r="I281" s="268"/>
      <c r="J281" s="268"/>
      <c r="K281" s="268"/>
      <c r="L281" s="268"/>
      <c r="M281" s="268"/>
      <c r="N281" s="268"/>
      <c r="O281" s="268"/>
      <c r="P281" s="268"/>
      <c r="Q281" s="268"/>
      <c r="R281" s="268"/>
      <c r="S281" s="7"/>
      <c r="U281" s="96"/>
      <c r="W281" s="268"/>
      <c r="X281" s="268"/>
      <c r="Y281" s="268"/>
      <c r="Z281" s="268"/>
      <c r="AA281" s="268"/>
      <c r="AB281" s="268"/>
      <c r="AC281" s="268"/>
      <c r="AD281" s="268"/>
      <c r="AE281" s="268"/>
      <c r="AF281" s="268"/>
      <c r="AG281" s="268"/>
      <c r="AH281" s="268"/>
      <c r="AI281" s="268"/>
      <c r="AJ281" s="268"/>
      <c r="AK281" s="268"/>
      <c r="AL281" s="95"/>
      <c r="AM281" s="7"/>
      <c r="AN281" s="95"/>
      <c r="AO281" s="79"/>
    </row>
    <row r="282" spans="1:41" ht="7.15" hidden="1" customHeight="1">
      <c r="A282" s="111"/>
      <c r="U282" s="13"/>
      <c r="AO282" s="79"/>
    </row>
    <row r="283" spans="1:41" hidden="1">
      <c r="A283" s="111"/>
      <c r="C283" s="288"/>
      <c r="D283" s="288"/>
      <c r="E283" s="288"/>
      <c r="F283" s="288"/>
      <c r="I283" s="289"/>
      <c r="J283" s="289"/>
      <c r="K283" s="289"/>
      <c r="O283" s="97"/>
      <c r="P283" s="97"/>
      <c r="Q283" s="98"/>
      <c r="R283" s="98"/>
      <c r="S283" s="98"/>
      <c r="T283" s="98"/>
      <c r="U283" s="13"/>
      <c r="X283" s="99"/>
      <c r="Y283" s="100"/>
      <c r="AA283" s="100"/>
      <c r="AB283" s="290"/>
      <c r="AC283" s="290"/>
      <c r="AD283" s="101"/>
      <c r="AE283" s="101"/>
      <c r="AG283" s="101"/>
      <c r="AI283" s="98"/>
      <c r="AJ283" s="98"/>
      <c r="AK283" s="98"/>
      <c r="AL283" s="98"/>
      <c r="AM283" s="98"/>
      <c r="AN283" s="98"/>
      <c r="AO283" s="79"/>
    </row>
    <row r="284" spans="1:41" ht="22.5" hidden="1" customHeight="1">
      <c r="A284" s="146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7"/>
      <c r="P284" s="97"/>
      <c r="Q284" s="98"/>
      <c r="R284" s="98"/>
      <c r="S284" s="98"/>
      <c r="T284" s="98"/>
      <c r="U284" s="147"/>
      <c r="V284" s="98"/>
      <c r="W284" s="98"/>
      <c r="X284" s="98"/>
      <c r="Y284" s="98"/>
      <c r="Z284" s="98"/>
      <c r="AA284" s="98"/>
      <c r="AB284" s="98"/>
      <c r="AC284" s="98"/>
      <c r="AD284" s="98"/>
      <c r="AE284" s="98"/>
      <c r="AF284" s="98"/>
      <c r="AG284" s="98"/>
      <c r="AH284" s="98"/>
      <c r="AI284" s="98"/>
      <c r="AJ284" s="98"/>
      <c r="AK284" s="98"/>
      <c r="AL284" s="98"/>
      <c r="AM284" s="98"/>
      <c r="AN284" s="98"/>
      <c r="AO284" s="148"/>
    </row>
    <row r="285" spans="1:41" ht="19.5" hidden="1" customHeight="1">
      <c r="A285" s="214"/>
      <c r="O285" s="58"/>
      <c r="Y285" s="291"/>
      <c r="Z285" s="291"/>
      <c r="AA285" s="291"/>
      <c r="AB285" s="291"/>
      <c r="AC285" s="291"/>
      <c r="AD285" s="291"/>
      <c r="AE285" s="291"/>
      <c r="AF285" s="291"/>
      <c r="AG285" s="291"/>
      <c r="AH285" s="291"/>
      <c r="AI285" s="291"/>
      <c r="AJ285" s="291"/>
      <c r="AK285" s="291"/>
      <c r="AL285" s="291"/>
      <c r="AM285" s="291"/>
      <c r="AN285" s="291"/>
      <c r="AO285" s="291"/>
    </row>
    <row r="286" spans="1:41" ht="12.75" hidden="1" customHeight="1">
      <c r="A286" s="131"/>
      <c r="B286" s="132"/>
      <c r="C286" s="132"/>
      <c r="D286" s="132"/>
      <c r="E286" s="132"/>
      <c r="F286" s="132"/>
      <c r="G286" s="132"/>
      <c r="H286" s="132"/>
      <c r="I286" s="132"/>
      <c r="J286" s="132"/>
      <c r="K286" s="132"/>
      <c r="L286" s="132"/>
      <c r="M286" s="132"/>
      <c r="N286" s="132"/>
      <c r="O286" s="133"/>
      <c r="P286" s="133"/>
      <c r="Q286" s="132"/>
      <c r="R286" s="132"/>
      <c r="S286" s="132"/>
      <c r="T286" s="132"/>
      <c r="U286" s="132"/>
      <c r="V286" s="132"/>
      <c r="W286" s="132"/>
      <c r="X286" s="132"/>
      <c r="Y286" s="134"/>
      <c r="Z286" s="132"/>
      <c r="AA286" s="132"/>
      <c r="AB286" s="132"/>
      <c r="AC286" s="132"/>
      <c r="AD286" s="132"/>
      <c r="AE286" s="132"/>
      <c r="AF286" s="132"/>
      <c r="AG286" s="132"/>
      <c r="AH286" s="132"/>
      <c r="AI286" s="132"/>
      <c r="AJ286" s="132"/>
      <c r="AK286" s="132"/>
      <c r="AL286" s="132"/>
      <c r="AM286" s="132"/>
      <c r="AN286" s="132"/>
      <c r="AO286" s="135"/>
    </row>
    <row r="287" spans="1:41" ht="18" hidden="1" customHeight="1">
      <c r="A287" s="136"/>
      <c r="B287" s="201"/>
      <c r="H287" s="284"/>
      <c r="I287" s="284"/>
      <c r="J287" s="284"/>
      <c r="K287" s="284"/>
      <c r="L287" s="284"/>
      <c r="M287" s="284"/>
      <c r="N287" s="284"/>
      <c r="O287" s="284"/>
      <c r="P287" s="284"/>
      <c r="Q287" s="284"/>
      <c r="R287" s="284"/>
      <c r="S287" s="12"/>
      <c r="T287" s="12"/>
      <c r="U287" s="12"/>
      <c r="AG287" s="285"/>
      <c r="AH287" s="285"/>
      <c r="AI287" s="2"/>
      <c r="AJ287" s="2"/>
      <c r="AK287" s="2"/>
      <c r="AO287" s="79"/>
    </row>
    <row r="288" spans="1:41" ht="16.149999999999999" hidden="1" customHeight="1">
      <c r="A288" s="112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5"/>
      <c r="P288" s="15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37"/>
    </row>
    <row r="289" spans="1:41" s="6" customFormat="1" ht="16.149999999999999" hidden="1" customHeight="1">
      <c r="A289" s="158"/>
      <c r="B289" s="209"/>
      <c r="C289" s="159"/>
      <c r="D289" s="159"/>
      <c r="E289" s="159"/>
      <c r="F289" s="159"/>
      <c r="G289" s="14"/>
      <c r="H289" s="14"/>
      <c r="I289" s="14"/>
      <c r="J289" s="14"/>
      <c r="K289"/>
      <c r="L289" s="14"/>
      <c r="M289" s="14"/>
      <c r="N289" s="341"/>
      <c r="O289" s="341"/>
      <c r="P289" s="341"/>
      <c r="Q289" s="341"/>
      <c r="R289" s="341"/>
      <c r="S289" s="341"/>
      <c r="T289" s="341"/>
      <c r="U289" s="341"/>
      <c r="V289" s="341"/>
      <c r="W289" s="341"/>
      <c r="X289" s="341"/>
      <c r="Y289" s="14"/>
      <c r="Z289" s="14"/>
      <c r="AA289" s="14"/>
      <c r="AB289" s="14"/>
      <c r="AC289"/>
      <c r="AD289"/>
      <c r="AE289"/>
      <c r="AF289"/>
      <c r="AG289"/>
      <c r="AH289"/>
      <c r="AI289"/>
      <c r="AJ289"/>
      <c r="AK289"/>
      <c r="AL289"/>
      <c r="AM289"/>
      <c r="AN289"/>
      <c r="AO289" s="79"/>
    </row>
    <row r="290" spans="1:41" s="6" customFormat="1" ht="16.149999999999999" hidden="1" customHeight="1">
      <c r="A290" s="350"/>
      <c r="B290" s="351"/>
      <c r="C290" s="351"/>
      <c r="D290" s="351"/>
      <c r="E290" s="351"/>
      <c r="F290" s="351"/>
      <c r="G290" s="352"/>
      <c r="H290" s="342"/>
      <c r="I290" s="343"/>
      <c r="J290" s="343"/>
      <c r="K290" s="343"/>
      <c r="L290" s="343"/>
      <c r="M290" s="343"/>
      <c r="N290" s="343"/>
      <c r="O290" s="343"/>
      <c r="P290" s="343"/>
      <c r="Q290" s="343"/>
      <c r="R290" s="343"/>
      <c r="S290" s="343"/>
      <c r="T290" s="343"/>
      <c r="U290" s="343"/>
      <c r="V290" s="343"/>
      <c r="W290" s="343"/>
      <c r="X290" s="343"/>
      <c r="Y290" s="343"/>
      <c r="Z290" s="343"/>
      <c r="AA290" s="343"/>
      <c r="AB290" s="344"/>
      <c r="AC290" s="361"/>
      <c r="AD290" s="362"/>
      <c r="AE290" s="362"/>
      <c r="AF290" s="362"/>
      <c r="AG290" s="362"/>
      <c r="AH290" s="362"/>
      <c r="AI290" s="362"/>
      <c r="AJ290" s="362"/>
      <c r="AK290" s="362"/>
      <c r="AL290" s="362"/>
      <c r="AM290" s="362"/>
      <c r="AN290" s="362"/>
      <c r="AO290" s="363"/>
    </row>
    <row r="291" spans="1:41" s="6" customFormat="1" ht="13.5" hidden="1" customHeight="1">
      <c r="A291" s="353"/>
      <c r="B291" s="354"/>
      <c r="C291" s="354"/>
      <c r="D291" s="354"/>
      <c r="E291" s="354"/>
      <c r="F291" s="354"/>
      <c r="G291" s="355"/>
      <c r="H291" s="345"/>
      <c r="I291" s="346"/>
      <c r="J291" s="346"/>
      <c r="K291" s="346"/>
      <c r="L291" s="346"/>
      <c r="M291" s="346"/>
      <c r="N291" s="346"/>
      <c r="O291" s="346"/>
      <c r="P291" s="346"/>
      <c r="Q291" s="346"/>
      <c r="R291" s="346"/>
      <c r="S291" s="346"/>
      <c r="T291" s="346"/>
      <c r="U291" s="346"/>
      <c r="V291" s="346"/>
      <c r="W291" s="346"/>
      <c r="X291" s="346"/>
      <c r="Y291" s="346"/>
      <c r="Z291" s="346"/>
      <c r="AA291" s="346"/>
      <c r="AB291" s="347"/>
      <c r="AC291" s="358"/>
      <c r="AD291" s="359"/>
      <c r="AE291" s="359"/>
      <c r="AF291" s="359"/>
      <c r="AG291" s="359"/>
      <c r="AH291" s="359"/>
      <c r="AI291" s="359"/>
      <c r="AJ291" s="359"/>
      <c r="AK291" s="359"/>
      <c r="AL291" s="359"/>
      <c r="AM291" s="359"/>
      <c r="AN291" s="359"/>
      <c r="AO291" s="360"/>
    </row>
    <row r="292" spans="1:41" s="6" customFormat="1" ht="15" hidden="1" customHeight="1">
      <c r="A292" s="348"/>
      <c r="B292" s="349"/>
      <c r="C292" s="262"/>
      <c r="D292" s="262"/>
      <c r="E292" s="262"/>
      <c r="F292" s="262"/>
      <c r="G292" s="271"/>
      <c r="H292" s="270"/>
      <c r="I292" s="262"/>
      <c r="J292" s="262"/>
      <c r="K292" s="262"/>
      <c r="L292" s="262"/>
      <c r="M292" s="262"/>
      <c r="N292" s="262"/>
      <c r="O292" s="262"/>
      <c r="P292" s="262"/>
      <c r="Q292" s="262"/>
      <c r="R292" s="262"/>
      <c r="S292" s="262"/>
      <c r="T292" s="262"/>
      <c r="U292" s="262"/>
      <c r="V292" s="262"/>
      <c r="W292" s="262"/>
      <c r="X292" s="262"/>
      <c r="Y292" s="262"/>
      <c r="Z292" s="262"/>
      <c r="AA292" s="262"/>
      <c r="AB292" s="263"/>
      <c r="AC292" s="261"/>
      <c r="AD292" s="262"/>
      <c r="AE292" s="59"/>
      <c r="AF292" s="356"/>
      <c r="AG292" s="356"/>
      <c r="AH292" s="356"/>
      <c r="AI292" s="356"/>
      <c r="AJ292" s="356"/>
      <c r="AK292" s="356"/>
      <c r="AL292" s="356"/>
      <c r="AM292" s="356"/>
      <c r="AN292" s="356"/>
      <c r="AO292" s="357"/>
    </row>
    <row r="293" spans="1:41" ht="14.25" hidden="1" customHeight="1">
      <c r="A293" s="348"/>
      <c r="B293" s="349"/>
      <c r="C293" s="262"/>
      <c r="D293" s="262"/>
      <c r="E293" s="262"/>
      <c r="F293" s="262"/>
      <c r="G293" s="271"/>
      <c r="H293" s="270"/>
      <c r="I293" s="262"/>
      <c r="J293" s="262"/>
      <c r="K293" s="262"/>
      <c r="L293" s="262"/>
      <c r="M293" s="262"/>
      <c r="N293" s="262"/>
      <c r="O293" s="262"/>
      <c r="P293" s="262"/>
      <c r="Q293" s="262"/>
      <c r="R293" s="262"/>
      <c r="S293" s="262"/>
      <c r="T293" s="262"/>
      <c r="U293" s="262"/>
      <c r="V293" s="262"/>
      <c r="W293" s="262"/>
      <c r="X293" s="262"/>
      <c r="Y293" s="262"/>
      <c r="Z293" s="262"/>
      <c r="AA293" s="262"/>
      <c r="AB293" s="263"/>
      <c r="AC293" s="261"/>
      <c r="AD293" s="262"/>
      <c r="AE293" s="59"/>
      <c r="AF293" s="356"/>
      <c r="AG293" s="356"/>
      <c r="AH293" s="356"/>
      <c r="AI293" s="356"/>
      <c r="AJ293" s="356"/>
      <c r="AK293" s="356"/>
      <c r="AL293" s="356"/>
      <c r="AM293" s="356"/>
      <c r="AN293" s="356"/>
      <c r="AO293" s="357"/>
    </row>
    <row r="294" spans="1:41" ht="16.149999999999999" hidden="1" customHeight="1">
      <c r="A294" s="348"/>
      <c r="B294" s="349"/>
      <c r="C294" s="262"/>
      <c r="D294" s="262"/>
      <c r="E294" s="262"/>
      <c r="F294" s="262"/>
      <c r="G294" s="271"/>
      <c r="H294" s="270"/>
      <c r="I294" s="262"/>
      <c r="J294" s="262"/>
      <c r="K294" s="262"/>
      <c r="L294" s="262"/>
      <c r="M294" s="262"/>
      <c r="N294" s="262"/>
      <c r="O294" s="262"/>
      <c r="P294" s="262"/>
      <c r="Q294" s="262"/>
      <c r="R294" s="262"/>
      <c r="S294" s="262"/>
      <c r="T294" s="262"/>
      <c r="U294" s="262"/>
      <c r="V294" s="262"/>
      <c r="W294" s="262"/>
      <c r="X294" s="262"/>
      <c r="Y294" s="262"/>
      <c r="Z294" s="262"/>
      <c r="AA294" s="262"/>
      <c r="AB294" s="263"/>
      <c r="AC294" s="261"/>
      <c r="AD294" s="262"/>
      <c r="AE294" s="59"/>
      <c r="AF294" s="356"/>
      <c r="AG294" s="356"/>
      <c r="AH294" s="356"/>
      <c r="AI294" s="356"/>
      <c r="AJ294" s="356"/>
      <c r="AK294" s="356"/>
      <c r="AL294" s="356"/>
      <c r="AM294" s="356"/>
      <c r="AN294" s="356"/>
      <c r="AO294" s="357"/>
    </row>
    <row r="295" spans="1:41" ht="16.149999999999999" hidden="1" customHeight="1">
      <c r="A295" s="348"/>
      <c r="B295" s="349"/>
      <c r="C295" s="262"/>
      <c r="D295" s="262"/>
      <c r="E295" s="262"/>
      <c r="F295" s="262"/>
      <c r="G295" s="271"/>
      <c r="H295" s="270"/>
      <c r="I295" s="262"/>
      <c r="J295" s="262"/>
      <c r="K295" s="262"/>
      <c r="L295" s="262"/>
      <c r="M295" s="262"/>
      <c r="N295" s="262"/>
      <c r="O295" s="262"/>
      <c r="P295" s="262"/>
      <c r="Q295" s="262"/>
      <c r="R295" s="262"/>
      <c r="S295" s="262"/>
      <c r="T295" s="262"/>
      <c r="U295" s="262"/>
      <c r="V295" s="262"/>
      <c r="W295" s="262"/>
      <c r="X295" s="262"/>
      <c r="Y295" s="262"/>
      <c r="Z295" s="262"/>
      <c r="AA295" s="262"/>
      <c r="AB295" s="263"/>
      <c r="AC295" s="261"/>
      <c r="AD295" s="262"/>
      <c r="AE295" s="59"/>
      <c r="AF295" s="356"/>
      <c r="AG295" s="356"/>
      <c r="AH295" s="356"/>
      <c r="AI295" s="356"/>
      <c r="AJ295" s="356"/>
      <c r="AK295" s="356"/>
      <c r="AL295" s="356"/>
      <c r="AM295" s="356"/>
      <c r="AN295" s="356"/>
      <c r="AO295" s="357"/>
    </row>
    <row r="296" spans="1:41" ht="16.149999999999999" hidden="1" customHeight="1">
      <c r="A296" s="348"/>
      <c r="B296" s="349"/>
      <c r="C296" s="262"/>
      <c r="D296" s="262"/>
      <c r="E296" s="262"/>
      <c r="F296" s="262"/>
      <c r="G296" s="271"/>
      <c r="H296" s="270"/>
      <c r="I296" s="262"/>
      <c r="J296" s="262"/>
      <c r="K296" s="262"/>
      <c r="L296" s="262"/>
      <c r="M296" s="262"/>
      <c r="N296" s="262"/>
      <c r="O296" s="262"/>
      <c r="P296" s="262"/>
      <c r="Q296" s="262"/>
      <c r="R296" s="262"/>
      <c r="S296" s="262"/>
      <c r="T296" s="262"/>
      <c r="U296" s="262"/>
      <c r="V296" s="262"/>
      <c r="W296" s="262"/>
      <c r="X296" s="262"/>
      <c r="Y296" s="262"/>
      <c r="Z296" s="262"/>
      <c r="AA296" s="262"/>
      <c r="AB296" s="263"/>
      <c r="AC296" s="261"/>
      <c r="AD296" s="262"/>
      <c r="AE296" s="59"/>
      <c r="AF296" s="356"/>
      <c r="AG296" s="356"/>
      <c r="AH296" s="356"/>
      <c r="AI296" s="356"/>
      <c r="AJ296" s="356"/>
      <c r="AK296" s="356"/>
      <c r="AL296" s="356"/>
      <c r="AM296" s="356"/>
      <c r="AN296" s="356"/>
      <c r="AO296" s="357"/>
    </row>
    <row r="297" spans="1:41" ht="16.149999999999999" hidden="1" customHeight="1">
      <c r="A297" s="348"/>
      <c r="B297" s="349"/>
      <c r="C297" s="262"/>
      <c r="D297" s="262"/>
      <c r="E297" s="262"/>
      <c r="F297" s="262"/>
      <c r="G297" s="271"/>
      <c r="H297" s="270"/>
      <c r="I297" s="262"/>
      <c r="J297" s="262"/>
      <c r="K297" s="262"/>
      <c r="L297" s="262"/>
      <c r="M297" s="262"/>
      <c r="N297" s="262"/>
      <c r="O297" s="262"/>
      <c r="P297" s="262"/>
      <c r="Q297" s="262"/>
      <c r="R297" s="262"/>
      <c r="S297" s="262"/>
      <c r="T297" s="262"/>
      <c r="U297" s="262"/>
      <c r="V297" s="262"/>
      <c r="W297" s="262"/>
      <c r="X297" s="262"/>
      <c r="Y297" s="262"/>
      <c r="Z297" s="262"/>
      <c r="AA297" s="262"/>
      <c r="AB297" s="263"/>
      <c r="AC297" s="261"/>
      <c r="AD297" s="262"/>
      <c r="AE297" s="59"/>
      <c r="AF297" s="356"/>
      <c r="AG297" s="356"/>
      <c r="AH297" s="356"/>
      <c r="AI297" s="356"/>
      <c r="AJ297" s="356"/>
      <c r="AK297" s="356"/>
      <c r="AL297" s="356"/>
      <c r="AM297" s="356"/>
      <c r="AN297" s="356"/>
      <c r="AO297" s="357"/>
    </row>
    <row r="298" spans="1:41" ht="16.149999999999999" hidden="1" customHeight="1">
      <c r="A298" s="270"/>
      <c r="B298" s="262"/>
      <c r="C298" s="262"/>
      <c r="D298" s="262"/>
      <c r="E298" s="262"/>
      <c r="F298" s="262"/>
      <c r="G298" s="271"/>
      <c r="H298" s="270"/>
      <c r="I298" s="262"/>
      <c r="J298" s="262"/>
      <c r="K298" s="262"/>
      <c r="L298" s="262"/>
      <c r="M298" s="262"/>
      <c r="N298" s="262"/>
      <c r="O298" s="262"/>
      <c r="P298" s="262"/>
      <c r="Q298" s="262"/>
      <c r="R298" s="262"/>
      <c r="S298" s="262"/>
      <c r="T298" s="262"/>
      <c r="U298" s="262"/>
      <c r="V298" s="262"/>
      <c r="W298" s="262"/>
      <c r="X298" s="262"/>
      <c r="Y298" s="262"/>
      <c r="Z298" s="262"/>
      <c r="AA298" s="262"/>
      <c r="AB298" s="263"/>
      <c r="AC298" s="261"/>
      <c r="AD298" s="262"/>
      <c r="AE298" s="59"/>
      <c r="AF298" s="356"/>
      <c r="AG298" s="356"/>
      <c r="AH298" s="356"/>
      <c r="AI298" s="356"/>
      <c r="AJ298" s="356"/>
      <c r="AK298" s="356"/>
      <c r="AL298" s="356"/>
      <c r="AM298" s="356"/>
      <c r="AN298" s="356"/>
      <c r="AO298" s="357"/>
    </row>
    <row r="299" spans="1:41" ht="16.149999999999999" hidden="1" customHeight="1">
      <c r="A299" s="270"/>
      <c r="B299" s="262"/>
      <c r="C299" s="262"/>
      <c r="D299" s="262"/>
      <c r="E299" s="262"/>
      <c r="F299" s="262"/>
      <c r="G299" s="271"/>
      <c r="H299" s="270"/>
      <c r="I299" s="262"/>
      <c r="J299" s="262"/>
      <c r="K299" s="262"/>
      <c r="L299" s="262"/>
      <c r="M299" s="262"/>
      <c r="N299" s="262"/>
      <c r="O299" s="262"/>
      <c r="P299" s="262"/>
      <c r="Q299" s="262"/>
      <c r="R299" s="262"/>
      <c r="S299" s="262"/>
      <c r="T299" s="262"/>
      <c r="U299" s="262"/>
      <c r="V299" s="262"/>
      <c r="W299" s="262"/>
      <c r="X299" s="262"/>
      <c r="Y299" s="262"/>
      <c r="Z299" s="262"/>
      <c r="AA299" s="262"/>
      <c r="AB299" s="263"/>
      <c r="AC299" s="261"/>
      <c r="AD299" s="262"/>
      <c r="AE299" s="59"/>
      <c r="AF299" s="356"/>
      <c r="AG299" s="356"/>
      <c r="AH299" s="356"/>
      <c r="AI299" s="356"/>
      <c r="AJ299" s="356"/>
      <c r="AK299" s="356"/>
      <c r="AL299" s="356"/>
      <c r="AM299" s="356"/>
      <c r="AN299" s="356"/>
      <c r="AO299" s="357"/>
    </row>
    <row r="300" spans="1:41" ht="16.149999999999999" hidden="1" customHeight="1">
      <c r="A300" s="270"/>
      <c r="B300" s="262"/>
      <c r="C300" s="262"/>
      <c r="D300" s="262"/>
      <c r="E300" s="262"/>
      <c r="F300" s="262"/>
      <c r="G300" s="271"/>
      <c r="H300" s="270"/>
      <c r="I300" s="262"/>
      <c r="J300" s="262"/>
      <c r="K300" s="262"/>
      <c r="L300" s="262"/>
      <c r="M300" s="262"/>
      <c r="N300" s="262"/>
      <c r="O300" s="262"/>
      <c r="P300" s="262"/>
      <c r="Q300" s="262"/>
      <c r="R300" s="262"/>
      <c r="S300" s="262"/>
      <c r="T300" s="262"/>
      <c r="U300" s="262"/>
      <c r="V300" s="262"/>
      <c r="W300" s="262"/>
      <c r="X300" s="262"/>
      <c r="Y300" s="262"/>
      <c r="Z300" s="262"/>
      <c r="AA300" s="262"/>
      <c r="AB300" s="263"/>
      <c r="AC300" s="261"/>
      <c r="AD300" s="262"/>
      <c r="AE300" s="59"/>
      <c r="AF300" s="356"/>
      <c r="AG300" s="356"/>
      <c r="AH300" s="356"/>
      <c r="AI300" s="356"/>
      <c r="AJ300" s="356"/>
      <c r="AK300" s="356"/>
      <c r="AL300" s="356"/>
      <c r="AM300" s="356"/>
      <c r="AN300" s="356"/>
      <c r="AO300" s="357"/>
    </row>
    <row r="301" spans="1:41" ht="16.149999999999999" hidden="1" customHeight="1">
      <c r="A301" s="270"/>
      <c r="B301" s="262"/>
      <c r="C301" s="262"/>
      <c r="D301" s="262"/>
      <c r="E301" s="262"/>
      <c r="F301" s="262"/>
      <c r="G301" s="271"/>
      <c r="H301" s="270"/>
      <c r="I301" s="262"/>
      <c r="J301" s="262"/>
      <c r="K301" s="262"/>
      <c r="L301" s="262"/>
      <c r="M301" s="262"/>
      <c r="N301" s="262"/>
      <c r="O301" s="262"/>
      <c r="P301" s="262"/>
      <c r="Q301" s="262"/>
      <c r="R301" s="262"/>
      <c r="S301" s="262"/>
      <c r="T301" s="262"/>
      <c r="U301" s="262"/>
      <c r="V301" s="262"/>
      <c r="W301" s="262"/>
      <c r="X301" s="262"/>
      <c r="Y301" s="262"/>
      <c r="Z301" s="262"/>
      <c r="AA301" s="262"/>
      <c r="AB301" s="263"/>
      <c r="AC301" s="261"/>
      <c r="AD301" s="262"/>
      <c r="AE301" s="59"/>
      <c r="AF301" s="356"/>
      <c r="AG301" s="356"/>
      <c r="AH301" s="356"/>
      <c r="AI301" s="356"/>
      <c r="AJ301" s="356"/>
      <c r="AK301" s="356"/>
      <c r="AL301" s="356"/>
      <c r="AM301" s="356"/>
      <c r="AN301" s="356"/>
      <c r="AO301" s="357"/>
    </row>
    <row r="302" spans="1:41" ht="16.149999999999999" hidden="1" customHeight="1">
      <c r="A302" s="270"/>
      <c r="B302" s="262"/>
      <c r="C302" s="262"/>
      <c r="D302" s="262"/>
      <c r="E302" s="262"/>
      <c r="F302" s="262"/>
      <c r="G302" s="271"/>
      <c r="H302" s="270"/>
      <c r="I302" s="262"/>
      <c r="J302" s="262"/>
      <c r="K302" s="262"/>
      <c r="L302" s="262"/>
      <c r="M302" s="262"/>
      <c r="N302" s="262"/>
      <c r="O302" s="262"/>
      <c r="P302" s="262"/>
      <c r="Q302" s="262"/>
      <c r="R302" s="262"/>
      <c r="S302" s="262"/>
      <c r="T302" s="262"/>
      <c r="U302" s="262"/>
      <c r="V302" s="262"/>
      <c r="W302" s="262"/>
      <c r="X302" s="262"/>
      <c r="Y302" s="262"/>
      <c r="Z302" s="262"/>
      <c r="AA302" s="262"/>
      <c r="AB302" s="263"/>
      <c r="AC302" s="261"/>
      <c r="AD302" s="262"/>
      <c r="AE302" s="59"/>
      <c r="AF302" s="356"/>
      <c r="AG302" s="356"/>
      <c r="AH302" s="356"/>
      <c r="AI302" s="356"/>
      <c r="AJ302" s="356"/>
      <c r="AK302" s="356"/>
      <c r="AL302" s="356"/>
      <c r="AM302" s="356"/>
      <c r="AN302" s="356"/>
      <c r="AO302" s="357"/>
    </row>
    <row r="303" spans="1:41" ht="16.149999999999999" hidden="1" customHeight="1">
      <c r="A303" s="270"/>
      <c r="B303" s="262"/>
      <c r="C303" s="262"/>
      <c r="D303" s="262"/>
      <c r="E303" s="262"/>
      <c r="F303" s="262"/>
      <c r="G303" s="271"/>
      <c r="H303" s="270"/>
      <c r="I303" s="262"/>
      <c r="J303" s="262"/>
      <c r="K303" s="262"/>
      <c r="L303" s="262"/>
      <c r="M303" s="262"/>
      <c r="N303" s="262"/>
      <c r="O303" s="262"/>
      <c r="P303" s="262"/>
      <c r="Q303" s="262"/>
      <c r="R303" s="262"/>
      <c r="S303" s="262"/>
      <c r="T303" s="262"/>
      <c r="U303" s="262"/>
      <c r="V303" s="262"/>
      <c r="W303" s="262"/>
      <c r="X303" s="262"/>
      <c r="Y303" s="262"/>
      <c r="Z303" s="262"/>
      <c r="AA303" s="262"/>
      <c r="AB303" s="263"/>
      <c r="AC303" s="261"/>
      <c r="AD303" s="262"/>
      <c r="AE303" s="59"/>
      <c r="AF303" s="356"/>
      <c r="AG303" s="356"/>
      <c r="AH303" s="356"/>
      <c r="AI303" s="356"/>
      <c r="AJ303" s="356"/>
      <c r="AK303" s="356"/>
      <c r="AL303" s="356"/>
      <c r="AM303" s="356"/>
      <c r="AN303" s="356"/>
      <c r="AO303" s="357"/>
    </row>
    <row r="304" spans="1:41" ht="16.149999999999999" hidden="1" customHeight="1">
      <c r="A304" s="270"/>
      <c r="B304" s="262"/>
      <c r="C304" s="262"/>
      <c r="D304" s="262"/>
      <c r="E304" s="262"/>
      <c r="F304" s="262"/>
      <c r="G304" s="271"/>
      <c r="H304" s="270"/>
      <c r="I304" s="262"/>
      <c r="J304" s="262"/>
      <c r="K304" s="262"/>
      <c r="L304" s="262"/>
      <c r="M304" s="262"/>
      <c r="N304" s="262"/>
      <c r="O304" s="262"/>
      <c r="P304" s="262"/>
      <c r="Q304" s="262"/>
      <c r="R304" s="262"/>
      <c r="S304" s="262"/>
      <c r="T304" s="262"/>
      <c r="U304" s="262"/>
      <c r="V304" s="262"/>
      <c r="W304" s="262"/>
      <c r="X304" s="262"/>
      <c r="Y304" s="262"/>
      <c r="Z304" s="262"/>
      <c r="AA304" s="262"/>
      <c r="AB304" s="263"/>
      <c r="AC304" s="261"/>
      <c r="AD304" s="262"/>
      <c r="AE304" s="59"/>
      <c r="AF304" s="356"/>
      <c r="AG304" s="356"/>
      <c r="AH304" s="356"/>
      <c r="AI304" s="356"/>
      <c r="AJ304" s="356"/>
      <c r="AK304" s="356"/>
      <c r="AL304" s="356"/>
      <c r="AM304" s="356"/>
      <c r="AN304" s="356"/>
      <c r="AO304" s="357"/>
    </row>
    <row r="305" spans="1:41" ht="16.149999999999999" hidden="1" customHeight="1">
      <c r="A305" s="270"/>
      <c r="B305" s="262"/>
      <c r="C305" s="262"/>
      <c r="D305" s="262"/>
      <c r="E305" s="262"/>
      <c r="F305" s="262"/>
      <c r="G305" s="271"/>
      <c r="H305" s="270"/>
      <c r="I305" s="262"/>
      <c r="J305" s="262"/>
      <c r="K305" s="262"/>
      <c r="L305" s="262"/>
      <c r="M305" s="262"/>
      <c r="N305" s="262"/>
      <c r="O305" s="262"/>
      <c r="P305" s="262"/>
      <c r="Q305" s="262"/>
      <c r="R305" s="262"/>
      <c r="S305" s="262"/>
      <c r="T305" s="262"/>
      <c r="U305" s="262"/>
      <c r="V305" s="262"/>
      <c r="W305" s="262"/>
      <c r="X305" s="262"/>
      <c r="Y305" s="262"/>
      <c r="Z305" s="262"/>
      <c r="AA305" s="262"/>
      <c r="AB305" s="263"/>
      <c r="AC305" s="261"/>
      <c r="AD305" s="262"/>
      <c r="AE305" s="59"/>
      <c r="AF305" s="356"/>
      <c r="AG305" s="356"/>
      <c r="AH305" s="356"/>
      <c r="AI305" s="356"/>
      <c r="AJ305" s="356"/>
      <c r="AK305" s="356"/>
      <c r="AL305" s="356"/>
      <c r="AM305" s="356"/>
      <c r="AN305" s="356"/>
      <c r="AO305" s="357"/>
    </row>
    <row r="306" spans="1:41" ht="16.149999999999999" hidden="1" customHeight="1">
      <c r="A306" s="270"/>
      <c r="B306" s="262"/>
      <c r="C306" s="262"/>
      <c r="D306" s="262"/>
      <c r="E306" s="262"/>
      <c r="F306" s="262"/>
      <c r="G306" s="271"/>
      <c r="H306" s="270"/>
      <c r="I306" s="262"/>
      <c r="J306" s="262"/>
      <c r="K306" s="262"/>
      <c r="L306" s="262"/>
      <c r="M306" s="262"/>
      <c r="N306" s="262"/>
      <c r="O306" s="262"/>
      <c r="P306" s="262"/>
      <c r="Q306" s="262"/>
      <c r="R306" s="262"/>
      <c r="S306" s="262"/>
      <c r="T306" s="262"/>
      <c r="U306" s="262"/>
      <c r="V306" s="262"/>
      <c r="W306" s="262"/>
      <c r="X306" s="262"/>
      <c r="Y306" s="262"/>
      <c r="Z306" s="262"/>
      <c r="AA306" s="262"/>
      <c r="AB306" s="263"/>
      <c r="AC306" s="261"/>
      <c r="AD306" s="262"/>
      <c r="AE306" s="59"/>
      <c r="AF306" s="356"/>
      <c r="AG306" s="356"/>
      <c r="AH306" s="356"/>
      <c r="AI306" s="356"/>
      <c r="AJ306" s="356"/>
      <c r="AK306" s="356"/>
      <c r="AL306" s="356"/>
      <c r="AM306" s="356"/>
      <c r="AN306" s="356"/>
      <c r="AO306" s="357"/>
    </row>
    <row r="307" spans="1:41" ht="16.149999999999999" hidden="1" customHeight="1">
      <c r="A307" s="270"/>
      <c r="B307" s="262"/>
      <c r="C307" s="262"/>
      <c r="D307" s="262"/>
      <c r="E307" s="262"/>
      <c r="F307" s="262"/>
      <c r="G307" s="271"/>
      <c r="H307" s="270"/>
      <c r="I307" s="262"/>
      <c r="J307" s="262"/>
      <c r="K307" s="262"/>
      <c r="L307" s="262"/>
      <c r="M307" s="262"/>
      <c r="N307" s="262"/>
      <c r="O307" s="262"/>
      <c r="P307" s="262"/>
      <c r="Q307" s="262"/>
      <c r="R307" s="262"/>
      <c r="S307" s="262"/>
      <c r="T307" s="262"/>
      <c r="U307" s="262"/>
      <c r="V307" s="262"/>
      <c r="W307" s="262"/>
      <c r="X307" s="262"/>
      <c r="Y307" s="262"/>
      <c r="Z307" s="262"/>
      <c r="AA307" s="262"/>
      <c r="AB307" s="263"/>
      <c r="AC307" s="261"/>
      <c r="AD307" s="262"/>
      <c r="AE307" s="59"/>
      <c r="AF307" s="356"/>
      <c r="AG307" s="356"/>
      <c r="AH307" s="356"/>
      <c r="AI307" s="356"/>
      <c r="AJ307" s="356"/>
      <c r="AK307" s="356"/>
      <c r="AL307" s="356"/>
      <c r="AM307" s="356"/>
      <c r="AN307" s="356"/>
      <c r="AO307" s="357"/>
    </row>
    <row r="308" spans="1:41" ht="16.149999999999999" hidden="1" customHeight="1">
      <c r="A308" s="270"/>
      <c r="B308" s="262"/>
      <c r="C308" s="262"/>
      <c r="D308" s="262"/>
      <c r="E308" s="262"/>
      <c r="F308" s="262"/>
      <c r="G308" s="271"/>
      <c r="H308" s="270"/>
      <c r="I308" s="262"/>
      <c r="J308" s="262"/>
      <c r="K308" s="262"/>
      <c r="L308" s="262"/>
      <c r="M308" s="262"/>
      <c r="N308" s="262"/>
      <c r="O308" s="262"/>
      <c r="P308" s="262"/>
      <c r="Q308" s="262"/>
      <c r="R308" s="262"/>
      <c r="S308" s="262"/>
      <c r="T308" s="262"/>
      <c r="U308" s="262"/>
      <c r="V308" s="262"/>
      <c r="W308" s="262"/>
      <c r="X308" s="262"/>
      <c r="Y308" s="262"/>
      <c r="Z308" s="262"/>
      <c r="AA308" s="262"/>
      <c r="AB308" s="263"/>
      <c r="AC308" s="261"/>
      <c r="AD308" s="262"/>
      <c r="AE308" s="59"/>
      <c r="AF308" s="356"/>
      <c r="AG308" s="356"/>
      <c r="AH308" s="356"/>
      <c r="AI308" s="356"/>
      <c r="AJ308" s="356"/>
      <c r="AK308" s="356"/>
      <c r="AL308" s="356"/>
      <c r="AM308" s="356"/>
      <c r="AN308" s="356"/>
      <c r="AO308" s="357"/>
    </row>
    <row r="309" spans="1:41" ht="16.149999999999999" hidden="1" customHeight="1">
      <c r="A309" s="270"/>
      <c r="B309" s="262"/>
      <c r="C309" s="262"/>
      <c r="D309" s="262"/>
      <c r="E309" s="262"/>
      <c r="F309" s="262"/>
      <c r="G309" s="271"/>
      <c r="H309" s="270"/>
      <c r="I309" s="262"/>
      <c r="J309" s="262"/>
      <c r="K309" s="262"/>
      <c r="L309" s="262"/>
      <c r="M309" s="262"/>
      <c r="N309" s="262"/>
      <c r="O309" s="262"/>
      <c r="P309" s="262"/>
      <c r="Q309" s="262"/>
      <c r="R309" s="262"/>
      <c r="S309" s="262"/>
      <c r="T309" s="262"/>
      <c r="U309" s="262"/>
      <c r="V309" s="262"/>
      <c r="W309" s="262"/>
      <c r="X309" s="262"/>
      <c r="Y309" s="262"/>
      <c r="Z309" s="262"/>
      <c r="AA309" s="262"/>
      <c r="AB309" s="263"/>
      <c r="AC309" s="261"/>
      <c r="AD309" s="262"/>
      <c r="AE309" s="59"/>
      <c r="AF309" s="356"/>
      <c r="AG309" s="356"/>
      <c r="AH309" s="356"/>
      <c r="AI309" s="356"/>
      <c r="AJ309" s="356"/>
      <c r="AK309" s="356"/>
      <c r="AL309" s="356"/>
      <c r="AM309" s="356"/>
      <c r="AN309" s="356"/>
      <c r="AO309" s="357"/>
    </row>
    <row r="310" spans="1:41" ht="16.149999999999999" hidden="1" customHeight="1">
      <c r="A310" s="270"/>
      <c r="B310" s="262"/>
      <c r="C310" s="262"/>
      <c r="D310" s="262"/>
      <c r="E310" s="262"/>
      <c r="F310" s="262"/>
      <c r="G310" s="271"/>
      <c r="H310" s="270"/>
      <c r="I310" s="262"/>
      <c r="J310" s="262"/>
      <c r="K310" s="262"/>
      <c r="L310" s="262"/>
      <c r="M310" s="262"/>
      <c r="N310" s="262"/>
      <c r="O310" s="262"/>
      <c r="P310" s="262"/>
      <c r="Q310" s="262"/>
      <c r="R310" s="262"/>
      <c r="S310" s="262"/>
      <c r="T310" s="262"/>
      <c r="U310" s="262"/>
      <c r="V310" s="262"/>
      <c r="W310" s="262"/>
      <c r="X310" s="262"/>
      <c r="Y310" s="262"/>
      <c r="Z310" s="262"/>
      <c r="AA310" s="262"/>
      <c r="AB310" s="263"/>
      <c r="AC310" s="261"/>
      <c r="AD310" s="262"/>
      <c r="AE310" s="59"/>
      <c r="AF310" s="356"/>
      <c r="AG310" s="356"/>
      <c r="AH310" s="356"/>
      <c r="AI310" s="356"/>
      <c r="AJ310" s="356"/>
      <c r="AK310" s="356"/>
      <c r="AL310" s="356"/>
      <c r="AM310" s="356"/>
      <c r="AN310" s="356"/>
      <c r="AO310" s="357"/>
    </row>
    <row r="311" spans="1:41" ht="16.149999999999999" hidden="1" customHeight="1">
      <c r="A311" s="270"/>
      <c r="B311" s="262"/>
      <c r="C311" s="262"/>
      <c r="D311" s="262"/>
      <c r="E311" s="262"/>
      <c r="F311" s="262"/>
      <c r="G311" s="271"/>
      <c r="H311" s="270"/>
      <c r="I311" s="262"/>
      <c r="J311" s="262"/>
      <c r="K311" s="262"/>
      <c r="L311" s="262"/>
      <c r="M311" s="262"/>
      <c r="N311" s="262"/>
      <c r="O311" s="262"/>
      <c r="P311" s="262"/>
      <c r="Q311" s="262"/>
      <c r="R311" s="262"/>
      <c r="S311" s="262"/>
      <c r="T311" s="262"/>
      <c r="U311" s="262"/>
      <c r="V311" s="262"/>
      <c r="W311" s="262"/>
      <c r="X311" s="262"/>
      <c r="Y311" s="262"/>
      <c r="Z311" s="262"/>
      <c r="AA311" s="262"/>
      <c r="AB311" s="263"/>
      <c r="AC311" s="261"/>
      <c r="AD311" s="262"/>
      <c r="AE311" s="59"/>
      <c r="AF311" s="356"/>
      <c r="AG311" s="356"/>
      <c r="AH311" s="356"/>
      <c r="AI311" s="356"/>
      <c r="AJ311" s="356"/>
      <c r="AK311" s="356"/>
      <c r="AL311" s="356"/>
      <c r="AM311" s="356"/>
      <c r="AN311" s="356"/>
      <c r="AO311" s="357"/>
    </row>
    <row r="312" spans="1:41" ht="16.149999999999999" hidden="1" customHeight="1">
      <c r="A312" s="270"/>
      <c r="B312" s="262"/>
      <c r="C312" s="262"/>
      <c r="D312" s="262"/>
      <c r="E312" s="262"/>
      <c r="F312" s="262"/>
      <c r="G312" s="271"/>
      <c r="H312" s="270"/>
      <c r="I312" s="262"/>
      <c r="J312" s="262"/>
      <c r="K312" s="262"/>
      <c r="L312" s="262"/>
      <c r="M312" s="262"/>
      <c r="N312" s="262"/>
      <c r="O312" s="262"/>
      <c r="P312" s="262"/>
      <c r="Q312" s="262"/>
      <c r="R312" s="262"/>
      <c r="S312" s="262"/>
      <c r="T312" s="262"/>
      <c r="U312" s="262"/>
      <c r="V312" s="262"/>
      <c r="W312" s="262"/>
      <c r="X312" s="262"/>
      <c r="Y312" s="262"/>
      <c r="Z312" s="262"/>
      <c r="AA312" s="262"/>
      <c r="AB312" s="263"/>
      <c r="AC312" s="261"/>
      <c r="AD312" s="262"/>
      <c r="AE312" s="59"/>
      <c r="AF312" s="356"/>
      <c r="AG312" s="356"/>
      <c r="AH312" s="356"/>
      <c r="AI312" s="356"/>
      <c r="AJ312" s="356"/>
      <c r="AK312" s="356"/>
      <c r="AL312" s="356"/>
      <c r="AM312" s="356"/>
      <c r="AN312" s="356"/>
      <c r="AO312" s="357"/>
    </row>
    <row r="313" spans="1:41" ht="16.5" hidden="1" customHeight="1">
      <c r="A313" s="270"/>
      <c r="B313" s="262"/>
      <c r="C313" s="262"/>
      <c r="D313" s="262"/>
      <c r="E313" s="262"/>
      <c r="F313" s="262"/>
      <c r="G313" s="271"/>
      <c r="H313" s="270"/>
      <c r="I313" s="262"/>
      <c r="J313" s="262"/>
      <c r="K313" s="262"/>
      <c r="L313" s="262"/>
      <c r="M313" s="262"/>
      <c r="N313" s="262"/>
      <c r="O313" s="262"/>
      <c r="P313" s="262"/>
      <c r="Q313" s="262"/>
      <c r="R313" s="262"/>
      <c r="S313" s="262"/>
      <c r="T313" s="262"/>
      <c r="U313" s="262"/>
      <c r="V313" s="262"/>
      <c r="W313" s="262"/>
      <c r="X313" s="262"/>
      <c r="Y313" s="262"/>
      <c r="Z313" s="262"/>
      <c r="AA313" s="262"/>
      <c r="AB313" s="263"/>
      <c r="AC313" s="261"/>
      <c r="AD313" s="262"/>
      <c r="AE313" s="59"/>
      <c r="AF313" s="356"/>
      <c r="AG313" s="356"/>
      <c r="AH313" s="356"/>
      <c r="AI313" s="356"/>
      <c r="AJ313" s="356"/>
      <c r="AK313" s="356"/>
      <c r="AL313" s="356"/>
      <c r="AM313" s="356"/>
      <c r="AN313" s="356"/>
      <c r="AO313" s="357"/>
    </row>
    <row r="314" spans="1:41" ht="16.5" hidden="1" customHeight="1">
      <c r="A314" s="270"/>
      <c r="B314" s="262"/>
      <c r="C314" s="262"/>
      <c r="D314" s="262"/>
      <c r="E314" s="262"/>
      <c r="F314" s="262"/>
      <c r="G314" s="271"/>
      <c r="H314" s="270"/>
      <c r="I314" s="262"/>
      <c r="J314" s="262"/>
      <c r="K314" s="262"/>
      <c r="L314" s="262"/>
      <c r="M314" s="262"/>
      <c r="N314" s="262"/>
      <c r="O314" s="262"/>
      <c r="P314" s="262"/>
      <c r="Q314" s="262"/>
      <c r="R314" s="262"/>
      <c r="S314" s="262"/>
      <c r="T314" s="262"/>
      <c r="U314" s="262"/>
      <c r="V314" s="262"/>
      <c r="W314" s="262"/>
      <c r="X314" s="262"/>
      <c r="Y314" s="262"/>
      <c r="Z314" s="262"/>
      <c r="AA314" s="262"/>
      <c r="AB314" s="263"/>
      <c r="AC314" s="261"/>
      <c r="AD314" s="262"/>
      <c r="AE314" s="59"/>
      <c r="AF314" s="356"/>
      <c r="AG314" s="356"/>
      <c r="AH314" s="356"/>
      <c r="AI314" s="356"/>
      <c r="AJ314" s="356"/>
      <c r="AK314" s="356"/>
      <c r="AL314" s="356"/>
      <c r="AM314" s="356"/>
      <c r="AN314" s="356"/>
      <c r="AO314" s="357"/>
    </row>
    <row r="315" spans="1:41" ht="18" hidden="1" customHeight="1">
      <c r="A315" s="144"/>
      <c r="B315" s="205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9"/>
      <c r="P315" s="9"/>
      <c r="Q315" s="8"/>
      <c r="R315" s="8"/>
      <c r="S315" s="8"/>
      <c r="T315" s="8"/>
      <c r="U315" s="10"/>
      <c r="V315" s="94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110"/>
    </row>
    <row r="316" spans="1:41" ht="7.15" hidden="1" customHeight="1">
      <c r="A316" s="111"/>
      <c r="U316" s="13"/>
      <c r="AO316" s="79"/>
    </row>
    <row r="317" spans="1:41" hidden="1">
      <c r="A317" s="111"/>
      <c r="E317" s="268"/>
      <c r="F317" s="268"/>
      <c r="G317" s="268"/>
      <c r="H317" s="268"/>
      <c r="I317" s="268"/>
      <c r="J317" s="268"/>
      <c r="K317" s="268"/>
      <c r="L317" s="268"/>
      <c r="M317" s="268"/>
      <c r="N317" s="268"/>
      <c r="O317" s="268"/>
      <c r="P317" s="268"/>
      <c r="Q317" s="268"/>
      <c r="R317" s="268"/>
      <c r="S317" s="7"/>
      <c r="U317" s="13"/>
      <c r="W317" s="268"/>
      <c r="X317" s="268"/>
      <c r="Y317" s="268"/>
      <c r="Z317" s="268"/>
      <c r="AA317" s="268"/>
      <c r="AB317" s="268"/>
      <c r="AC317" s="268"/>
      <c r="AD317" s="268"/>
      <c r="AE317" s="268"/>
      <c r="AF317" s="268"/>
      <c r="AG317" s="268"/>
      <c r="AH317" s="268"/>
      <c r="AI317" s="268"/>
      <c r="AJ317" s="268"/>
      <c r="AK317" s="268"/>
      <c r="AL317" s="95"/>
      <c r="AM317" s="7"/>
      <c r="AN317" s="95"/>
      <c r="AO317" s="79"/>
    </row>
    <row r="318" spans="1:41" ht="7.15" hidden="1" customHeight="1">
      <c r="A318" s="111"/>
      <c r="S318" s="29"/>
      <c r="U318" s="13"/>
      <c r="AO318" s="145"/>
    </row>
    <row r="319" spans="1:41" hidden="1">
      <c r="A319" s="111"/>
      <c r="E319" s="268"/>
      <c r="F319" s="268"/>
      <c r="G319" s="268"/>
      <c r="H319" s="268"/>
      <c r="I319" s="268"/>
      <c r="J319" s="268"/>
      <c r="K319" s="268"/>
      <c r="L319" s="268"/>
      <c r="M319" s="268"/>
      <c r="N319" s="268"/>
      <c r="O319" s="268"/>
      <c r="P319" s="268"/>
      <c r="Q319" s="268"/>
      <c r="R319" s="268"/>
      <c r="S319" s="7"/>
      <c r="U319" s="96"/>
      <c r="W319" s="268"/>
      <c r="X319" s="268"/>
      <c r="Y319" s="268"/>
      <c r="Z319" s="268"/>
      <c r="AA319" s="268"/>
      <c r="AB319" s="268"/>
      <c r="AC319" s="268"/>
      <c r="AD319" s="268"/>
      <c r="AE319" s="268"/>
      <c r="AF319" s="268"/>
      <c r="AG319" s="268"/>
      <c r="AH319" s="268"/>
      <c r="AI319" s="268"/>
      <c r="AJ319" s="268"/>
      <c r="AK319" s="268"/>
      <c r="AL319" s="95"/>
      <c r="AM319" s="7"/>
      <c r="AN319" s="95"/>
      <c r="AO319" s="79"/>
    </row>
    <row r="320" spans="1:41" ht="7.15" hidden="1" customHeight="1">
      <c r="A320" s="111"/>
      <c r="U320" s="13"/>
      <c r="AO320" s="79"/>
    </row>
    <row r="321" spans="1:41" hidden="1">
      <c r="A321" s="111"/>
      <c r="C321" s="288"/>
      <c r="D321" s="288"/>
      <c r="E321" s="288"/>
      <c r="F321" s="288"/>
      <c r="I321" s="289"/>
      <c r="J321" s="289"/>
      <c r="K321" s="289"/>
      <c r="O321" s="97"/>
      <c r="P321" s="97"/>
      <c r="Q321" s="98"/>
      <c r="R321" s="98"/>
      <c r="S321" s="98"/>
      <c r="T321" s="98"/>
      <c r="U321" s="13"/>
      <c r="X321" s="99"/>
      <c r="Y321" s="100"/>
      <c r="AA321" s="100"/>
      <c r="AB321" s="290"/>
      <c r="AC321" s="290"/>
      <c r="AD321" s="101"/>
      <c r="AE321" s="101"/>
      <c r="AG321" s="101"/>
      <c r="AI321" s="98"/>
      <c r="AJ321" s="98"/>
      <c r="AK321" s="98"/>
      <c r="AL321" s="98"/>
      <c r="AM321" s="98"/>
      <c r="AN321" s="98"/>
      <c r="AO321" s="79"/>
    </row>
    <row r="322" spans="1:41" ht="22.5" hidden="1" customHeight="1">
      <c r="A322" s="146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7"/>
      <c r="P322" s="97"/>
      <c r="Q322" s="98"/>
      <c r="R322" s="98"/>
      <c r="S322" s="98"/>
      <c r="T322" s="98"/>
      <c r="U322" s="147"/>
      <c r="V322" s="98"/>
      <c r="W322" s="98"/>
      <c r="X322" s="98"/>
      <c r="Y322" s="98"/>
      <c r="Z322" s="98"/>
      <c r="AA322" s="98"/>
      <c r="AB322" s="98"/>
      <c r="AC322" s="98"/>
      <c r="AD322" s="98"/>
      <c r="AE322" s="98"/>
      <c r="AF322" s="98"/>
      <c r="AG322" s="98"/>
      <c r="AH322" s="98"/>
      <c r="AI322" s="98"/>
      <c r="AJ322" s="98"/>
      <c r="AK322" s="98"/>
      <c r="AL322" s="98"/>
      <c r="AM322" s="98"/>
      <c r="AN322" s="98"/>
      <c r="AO322" s="148"/>
    </row>
    <row r="323" spans="1:41" ht="19.5" hidden="1" customHeight="1">
      <c r="A323" s="214"/>
      <c r="O323" s="58"/>
      <c r="Y323" s="291"/>
      <c r="Z323" s="291"/>
      <c r="AA323" s="291"/>
      <c r="AB323" s="291"/>
      <c r="AC323" s="291"/>
      <c r="AD323" s="291"/>
      <c r="AE323" s="291"/>
      <c r="AF323" s="291"/>
      <c r="AG323" s="291"/>
      <c r="AH323" s="291"/>
      <c r="AI323" s="291"/>
      <c r="AJ323" s="291"/>
      <c r="AK323" s="291"/>
      <c r="AL323" s="291"/>
      <c r="AM323" s="291"/>
      <c r="AN323" s="291"/>
      <c r="AO323" s="291"/>
    </row>
    <row r="325" spans="1:41">
      <c r="B325" s="12" t="s">
        <v>164</v>
      </c>
    </row>
  </sheetData>
  <mergeCells count="1944">
    <mergeCell ref="C66:G66"/>
    <mergeCell ref="C67:G67"/>
    <mergeCell ref="C68:G68"/>
    <mergeCell ref="C69:G69"/>
    <mergeCell ref="C70:G70"/>
    <mergeCell ref="C212:H212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96:H96"/>
    <mergeCell ref="C98:H98"/>
    <mergeCell ref="C100:H100"/>
    <mergeCell ref="C102:H102"/>
    <mergeCell ref="C104:H104"/>
    <mergeCell ref="C106:H106"/>
    <mergeCell ref="C108:H108"/>
    <mergeCell ref="C131:H131"/>
    <mergeCell ref="Y2:Z2"/>
    <mergeCell ref="AF314:AO314"/>
    <mergeCell ref="AF310:AO310"/>
    <mergeCell ref="H82:R82"/>
    <mergeCell ref="Q93:R93"/>
    <mergeCell ref="Q66:R66"/>
    <mergeCell ref="Q67:R67"/>
    <mergeCell ref="Q68:R68"/>
    <mergeCell ref="Q69:R69"/>
    <mergeCell ref="E76:R76"/>
    <mergeCell ref="Q90:R90"/>
    <mergeCell ref="AG82:AH82"/>
    <mergeCell ref="Q92:R92"/>
    <mergeCell ref="Q106:R106"/>
    <mergeCell ref="Q107:R107"/>
    <mergeCell ref="Q108:R108"/>
    <mergeCell ref="Q109:R109"/>
    <mergeCell ref="AF297:AO297"/>
    <mergeCell ref="AF298:AO298"/>
    <mergeCell ref="AF299:AO299"/>
    <mergeCell ref="AF300:AO300"/>
    <mergeCell ref="AF296:AO296"/>
    <mergeCell ref="AF301:AO301"/>
    <mergeCell ref="W74:AK74"/>
    <mergeCell ref="AF302:AO302"/>
    <mergeCell ref="S68:T68"/>
    <mergeCell ref="W68:X68"/>
    <mergeCell ref="AG66:AH66"/>
    <mergeCell ref="AI66:AJ66"/>
    <mergeCell ref="AG68:AH68"/>
    <mergeCell ref="AI68:AJ68"/>
    <mergeCell ref="Z68:AA68"/>
    <mergeCell ref="I69:J69"/>
    <mergeCell ref="M32:O32"/>
    <mergeCell ref="A33:F33"/>
    <mergeCell ref="G33:L33"/>
    <mergeCell ref="I56:J56"/>
    <mergeCell ref="S56:T56"/>
    <mergeCell ref="W56:X56"/>
    <mergeCell ref="I53:J53"/>
    <mergeCell ref="Q53:R53"/>
    <mergeCell ref="S53:T53"/>
    <mergeCell ref="W53:X53"/>
    <mergeCell ref="I49:J49"/>
    <mergeCell ref="Z54:AA54"/>
    <mergeCell ref="Y44:AA44"/>
    <mergeCell ref="Z45:AA45"/>
    <mergeCell ref="K43:T43"/>
    <mergeCell ref="Y43:AG43"/>
    <mergeCell ref="W54:X54"/>
    <mergeCell ref="Z55:AA55"/>
    <mergeCell ref="Z56:AA56"/>
    <mergeCell ref="AB44:AB46"/>
    <mergeCell ref="W45:X45"/>
    <mergeCell ref="Y39:AO39"/>
    <mergeCell ref="H41:R41"/>
    <mergeCell ref="AG51:AH51"/>
    <mergeCell ref="Q44:X44"/>
    <mergeCell ref="AG45:AH45"/>
    <mergeCell ref="K46:L47"/>
    <mergeCell ref="S52:T52"/>
    <mergeCell ref="I45:J45"/>
    <mergeCell ref="K45:N45"/>
    <mergeCell ref="S51:T51"/>
    <mergeCell ref="I52:J52"/>
    <mergeCell ref="I51:J51"/>
    <mergeCell ref="AK50:AM50"/>
    <mergeCell ref="Z46:AA46"/>
    <mergeCell ref="Z47:AA47"/>
    <mergeCell ref="W47:X47"/>
    <mergeCell ref="Z51:AA51"/>
    <mergeCell ref="S49:T49"/>
    <mergeCell ref="W49:X49"/>
    <mergeCell ref="AI46:AJ46"/>
    <mergeCell ref="AG47:AH47"/>
    <mergeCell ref="AK47:AM47"/>
    <mergeCell ref="AN54:AO54"/>
    <mergeCell ref="AK54:AM54"/>
    <mergeCell ref="I54:J54"/>
    <mergeCell ref="Q54:R54"/>
    <mergeCell ref="S54:T54"/>
    <mergeCell ref="S50:T50"/>
    <mergeCell ref="AI51:AJ51"/>
    <mergeCell ref="Q52:R52"/>
    <mergeCell ref="Z53:AA53"/>
    <mergeCell ref="AG54:AH54"/>
    <mergeCell ref="AI54:AJ54"/>
    <mergeCell ref="AN53:AO53"/>
    <mergeCell ref="AG53:AH53"/>
    <mergeCell ref="AI53:AJ53"/>
    <mergeCell ref="AK52:AM52"/>
    <mergeCell ref="AN52:AO52"/>
    <mergeCell ref="AK53:AM53"/>
    <mergeCell ref="AI52:AJ52"/>
    <mergeCell ref="AN51:AO51"/>
    <mergeCell ref="Z52:AA52"/>
    <mergeCell ref="W52:X52"/>
    <mergeCell ref="AK51:AM51"/>
    <mergeCell ref="AG52:AH52"/>
    <mergeCell ref="U10:Y10"/>
    <mergeCell ref="D10:K10"/>
    <mergeCell ref="I28:N28"/>
    <mergeCell ref="AN58:AO58"/>
    <mergeCell ref="AN55:AO55"/>
    <mergeCell ref="AG55:AH55"/>
    <mergeCell ref="AI55:AJ55"/>
    <mergeCell ref="AG56:AH56"/>
    <mergeCell ref="AI56:AJ56"/>
    <mergeCell ref="AK56:AM56"/>
    <mergeCell ref="Q56:R56"/>
    <mergeCell ref="AK55:AM55"/>
    <mergeCell ref="M16:V16"/>
    <mergeCell ref="A12:D12"/>
    <mergeCell ref="I12:K12"/>
    <mergeCell ref="Q12:S12"/>
    <mergeCell ref="A15:H15"/>
    <mergeCell ref="AH12:AM12"/>
    <mergeCell ref="Y11:AB11"/>
    <mergeCell ref="A20:J20"/>
    <mergeCell ref="M19:V19"/>
    <mergeCell ref="Y20:AK20"/>
    <mergeCell ref="M20:V20"/>
    <mergeCell ref="Y18:AK18"/>
    <mergeCell ref="Y19:AK19"/>
    <mergeCell ref="A26:H26"/>
    <mergeCell ref="A28:G28"/>
    <mergeCell ref="A30:G30"/>
    <mergeCell ref="P28:U28"/>
    <mergeCell ref="S47:T47"/>
    <mergeCell ref="AG30:AM30"/>
    <mergeCell ref="I30:N30"/>
    <mergeCell ref="P30:U30"/>
    <mergeCell ref="G34:L34"/>
    <mergeCell ref="T33:X33"/>
    <mergeCell ref="A36:AG36"/>
    <mergeCell ref="M31:O31"/>
    <mergeCell ref="A25:J25"/>
    <mergeCell ref="M25:V25"/>
    <mergeCell ref="Y25:AK25"/>
    <mergeCell ref="Q50:R50"/>
    <mergeCell ref="Q51:R51"/>
    <mergeCell ref="W50:X50"/>
    <mergeCell ref="Z50:AA50"/>
    <mergeCell ref="I50:J50"/>
    <mergeCell ref="AI50:AJ50"/>
    <mergeCell ref="W51:X51"/>
    <mergeCell ref="W46:X46"/>
    <mergeCell ref="Q49:R49"/>
    <mergeCell ref="Z49:AA49"/>
    <mergeCell ref="AF3:AG3"/>
    <mergeCell ref="N5:Q5"/>
    <mergeCell ref="W5:Y5"/>
    <mergeCell ref="Q46:R46"/>
    <mergeCell ref="Q47:R47"/>
    <mergeCell ref="M18:V18"/>
    <mergeCell ref="A17:J17"/>
    <mergeCell ref="M17:V17"/>
    <mergeCell ref="A18:J18"/>
    <mergeCell ref="Y16:AK16"/>
    <mergeCell ref="A21:J21"/>
    <mergeCell ref="M21:V21"/>
    <mergeCell ref="A19:J19"/>
    <mergeCell ref="Y17:AK17"/>
    <mergeCell ref="A22:H22"/>
    <mergeCell ref="M22:V22"/>
    <mergeCell ref="C44:F44"/>
    <mergeCell ref="I44:N44"/>
    <mergeCell ref="C45:H45"/>
    <mergeCell ref="Q45:R45"/>
    <mergeCell ref="A35:F35"/>
    <mergeCell ref="S45:T45"/>
    <mergeCell ref="AG31:AI31"/>
    <mergeCell ref="AD44:AM44"/>
    <mergeCell ref="U34:V34"/>
    <mergeCell ref="AG41:AH41"/>
    <mergeCell ref="AD13:AF13"/>
    <mergeCell ref="X12:AA12"/>
    <mergeCell ref="AG29:AM29"/>
    <mergeCell ref="W29:AE29"/>
    <mergeCell ref="Y22:AK22"/>
    <mergeCell ref="A23:J23"/>
    <mergeCell ref="E11:K11"/>
    <mergeCell ref="M11:Q11"/>
    <mergeCell ref="T11:W11"/>
    <mergeCell ref="A16:J16"/>
    <mergeCell ref="AN48:AO48"/>
    <mergeCell ref="AN47:AO47"/>
    <mergeCell ref="AC44:AC48"/>
    <mergeCell ref="AN44:AO46"/>
    <mergeCell ref="A38:AG38"/>
    <mergeCell ref="A29:G29"/>
    <mergeCell ref="I29:N29"/>
    <mergeCell ref="P29:U29"/>
    <mergeCell ref="W30:AE30"/>
    <mergeCell ref="M48:N48"/>
    <mergeCell ref="AN49:AO49"/>
    <mergeCell ref="AG49:AH49"/>
    <mergeCell ref="AI49:AJ49"/>
    <mergeCell ref="AI48:AJ48"/>
    <mergeCell ref="V43:X43"/>
    <mergeCell ref="AM33:AO33"/>
    <mergeCell ref="AG32:AI32"/>
    <mergeCell ref="A37:AG37"/>
    <mergeCell ref="AI47:AJ47"/>
    <mergeCell ref="M46:N47"/>
    <mergeCell ref="AI45:AJ45"/>
    <mergeCell ref="Y21:AK21"/>
    <mergeCell ref="A24:J24"/>
    <mergeCell ref="Y24:AK24"/>
    <mergeCell ref="M24:V24"/>
    <mergeCell ref="M23:V23"/>
    <mergeCell ref="Y23:AK23"/>
    <mergeCell ref="W28:AE28"/>
    <mergeCell ref="AN50:AO50"/>
    <mergeCell ref="AG50:AH50"/>
    <mergeCell ref="AK49:AM49"/>
    <mergeCell ref="AK45:AM45"/>
    <mergeCell ref="AG46:AH46"/>
    <mergeCell ref="I58:J58"/>
    <mergeCell ref="AK57:AM57"/>
    <mergeCell ref="AN57:AO57"/>
    <mergeCell ref="AI57:AJ57"/>
    <mergeCell ref="I55:J55"/>
    <mergeCell ref="Q55:R55"/>
    <mergeCell ref="S55:T55"/>
    <mergeCell ref="W55:X55"/>
    <mergeCell ref="I57:J57"/>
    <mergeCell ref="I60:J60"/>
    <mergeCell ref="Q60:R60"/>
    <mergeCell ref="I59:J59"/>
    <mergeCell ref="W59:X59"/>
    <mergeCell ref="S60:T60"/>
    <mergeCell ref="AN56:AO56"/>
    <mergeCell ref="S59:T59"/>
    <mergeCell ref="Z57:AA57"/>
    <mergeCell ref="Z58:AA58"/>
    <mergeCell ref="Q57:R57"/>
    <mergeCell ref="Q58:R58"/>
    <mergeCell ref="AG57:AH57"/>
    <mergeCell ref="S58:T58"/>
    <mergeCell ref="W58:X58"/>
    <mergeCell ref="S57:T57"/>
    <mergeCell ref="W57:X57"/>
    <mergeCell ref="AG58:AH58"/>
    <mergeCell ref="Z59:AA59"/>
    <mergeCell ref="AI64:AJ64"/>
    <mergeCell ref="Z63:AA63"/>
    <mergeCell ref="AI58:AJ58"/>
    <mergeCell ref="AK64:AM64"/>
    <mergeCell ref="AK58:AM58"/>
    <mergeCell ref="AN64:AO64"/>
    <mergeCell ref="AG64:AH64"/>
    <mergeCell ref="AK59:AM59"/>
    <mergeCell ref="AN59:AO59"/>
    <mergeCell ref="AI60:AJ60"/>
    <mergeCell ref="AK61:AM61"/>
    <mergeCell ref="AN61:AO61"/>
    <mergeCell ref="AG61:AH61"/>
    <mergeCell ref="AI61:AJ61"/>
    <mergeCell ref="AK60:AM60"/>
    <mergeCell ref="AN60:AO60"/>
    <mergeCell ref="S62:T62"/>
    <mergeCell ref="W62:X62"/>
    <mergeCell ref="AN62:AO62"/>
    <mergeCell ref="I62:J62"/>
    <mergeCell ref="Q62:R62"/>
    <mergeCell ref="I61:J61"/>
    <mergeCell ref="S61:T61"/>
    <mergeCell ref="AK62:AM62"/>
    <mergeCell ref="W61:X61"/>
    <mergeCell ref="Q61:R61"/>
    <mergeCell ref="AG62:AH62"/>
    <mergeCell ref="AI62:AJ62"/>
    <mergeCell ref="Z60:AA60"/>
    <mergeCell ref="Z61:AA61"/>
    <mergeCell ref="AG59:AH59"/>
    <mergeCell ref="AI59:AJ59"/>
    <mergeCell ref="Q59:R59"/>
    <mergeCell ref="AG60:AH60"/>
    <mergeCell ref="W60:X60"/>
    <mergeCell ref="Z62:AA62"/>
    <mergeCell ref="Q65:R65"/>
    <mergeCell ref="AN67:AO67"/>
    <mergeCell ref="AG67:AH67"/>
    <mergeCell ref="AI67:AJ67"/>
    <mergeCell ref="AK66:AM66"/>
    <mergeCell ref="AN66:AO66"/>
    <mergeCell ref="S66:T66"/>
    <mergeCell ref="I66:J66"/>
    <mergeCell ref="Z64:AA64"/>
    <mergeCell ref="Z65:AA65"/>
    <mergeCell ref="Z66:AA66"/>
    <mergeCell ref="Z67:AA67"/>
    <mergeCell ref="AK63:AM63"/>
    <mergeCell ref="AN63:AO63"/>
    <mergeCell ref="AG63:AH63"/>
    <mergeCell ref="AI63:AJ63"/>
    <mergeCell ref="AK67:AM67"/>
    <mergeCell ref="S64:T64"/>
    <mergeCell ref="W64:X64"/>
    <mergeCell ref="I64:J64"/>
    <mergeCell ref="Q64:R64"/>
    <mergeCell ref="I63:J63"/>
    <mergeCell ref="S63:T63"/>
    <mergeCell ref="W63:X63"/>
    <mergeCell ref="Q63:R63"/>
    <mergeCell ref="AK65:AM65"/>
    <mergeCell ref="AN65:AO65"/>
    <mergeCell ref="AG65:AH65"/>
    <mergeCell ref="AI65:AJ65"/>
    <mergeCell ref="I65:J65"/>
    <mergeCell ref="S65:T65"/>
    <mergeCell ref="W65:X65"/>
    <mergeCell ref="M65:N65"/>
    <mergeCell ref="H304:AB304"/>
    <mergeCell ref="H307:AB307"/>
    <mergeCell ref="AN68:AO68"/>
    <mergeCell ref="AK68:AM68"/>
    <mergeCell ref="Y80:AO80"/>
    <mergeCell ref="AC290:AO290"/>
    <mergeCell ref="AC295:AD295"/>
    <mergeCell ref="AC302:AD302"/>
    <mergeCell ref="AN69:AO69"/>
    <mergeCell ref="AG69:AH69"/>
    <mergeCell ref="AI69:AJ69"/>
    <mergeCell ref="C91:H91"/>
    <mergeCell ref="I91:J91"/>
    <mergeCell ref="S91:T91"/>
    <mergeCell ref="W91:X91"/>
    <mergeCell ref="Z91:AA91"/>
    <mergeCell ref="AG91:AH91"/>
    <mergeCell ref="AI91:AJ91"/>
    <mergeCell ref="AK91:AM91"/>
    <mergeCell ref="AN91:AO91"/>
    <mergeCell ref="I68:J68"/>
    <mergeCell ref="I67:J67"/>
    <mergeCell ref="S67:T67"/>
    <mergeCell ref="W67:X67"/>
    <mergeCell ref="W66:X66"/>
    <mergeCell ref="S69:T69"/>
    <mergeCell ref="A298:G298"/>
    <mergeCell ref="W69:X69"/>
    <mergeCell ref="Z69:AA69"/>
    <mergeCell ref="W76:AK76"/>
    <mergeCell ref="AK93:AM93"/>
    <mergeCell ref="H308:AB308"/>
    <mergeCell ref="AC299:AD299"/>
    <mergeCell ref="AC300:AD300"/>
    <mergeCell ref="AC298:AD298"/>
    <mergeCell ref="AC291:AO291"/>
    <mergeCell ref="AF292:AO292"/>
    <mergeCell ref="AF293:AO293"/>
    <mergeCell ref="AF294:AO294"/>
    <mergeCell ref="AF295:AO295"/>
    <mergeCell ref="AC296:AD296"/>
    <mergeCell ref="AC292:AD292"/>
    <mergeCell ref="AC293:AD293"/>
    <mergeCell ref="H299:AB299"/>
    <mergeCell ref="AB78:AC78"/>
    <mergeCell ref="AN89:AO89"/>
    <mergeCell ref="AG90:AH90"/>
    <mergeCell ref="AI90:AJ90"/>
    <mergeCell ref="AK90:AM90"/>
    <mergeCell ref="AN90:AO90"/>
    <mergeCell ref="AF307:AO307"/>
    <mergeCell ref="AF303:AO303"/>
    <mergeCell ref="AF304:AO304"/>
    <mergeCell ref="AF305:AO305"/>
    <mergeCell ref="S92:T92"/>
    <mergeCell ref="W92:X92"/>
    <mergeCell ref="Z92:AA92"/>
    <mergeCell ref="AG92:AH92"/>
    <mergeCell ref="AI92:AJ92"/>
    <mergeCell ref="AK92:AM92"/>
    <mergeCell ref="AN92:AO92"/>
    <mergeCell ref="Q91:R91"/>
    <mergeCell ref="C93:H93"/>
    <mergeCell ref="H312:AB312"/>
    <mergeCell ref="A310:G310"/>
    <mergeCell ref="AC303:AD303"/>
    <mergeCell ref="AC297:AD297"/>
    <mergeCell ref="AK69:AM69"/>
    <mergeCell ref="A308:G308"/>
    <mergeCell ref="A309:G309"/>
    <mergeCell ref="C78:F78"/>
    <mergeCell ref="E74:R74"/>
    <mergeCell ref="I78:K78"/>
    <mergeCell ref="A313:G313"/>
    <mergeCell ref="AC307:AD307"/>
    <mergeCell ref="A305:G305"/>
    <mergeCell ref="H305:AB305"/>
    <mergeCell ref="AC305:AD305"/>
    <mergeCell ref="A306:G306"/>
    <mergeCell ref="A312:G312"/>
    <mergeCell ref="H309:AB309"/>
    <mergeCell ref="AC308:AD308"/>
    <mergeCell ref="A303:G303"/>
    <mergeCell ref="A300:G300"/>
    <mergeCell ref="A304:G304"/>
    <mergeCell ref="AI89:AJ89"/>
    <mergeCell ref="AC310:AD310"/>
    <mergeCell ref="AF306:AO306"/>
    <mergeCell ref="AF308:AO308"/>
    <mergeCell ref="I93:J93"/>
    <mergeCell ref="S93:T93"/>
    <mergeCell ref="W93:X93"/>
    <mergeCell ref="Z93:AA93"/>
    <mergeCell ref="AG93:AH93"/>
    <mergeCell ref="AI93:AJ93"/>
    <mergeCell ref="W319:AK319"/>
    <mergeCell ref="W317:AK317"/>
    <mergeCell ref="AC301:AD301"/>
    <mergeCell ref="Y323:AO323"/>
    <mergeCell ref="E317:R317"/>
    <mergeCell ref="C321:F321"/>
    <mergeCell ref="I321:K321"/>
    <mergeCell ref="E319:R319"/>
    <mergeCell ref="AB321:AC321"/>
    <mergeCell ref="AC312:AD312"/>
    <mergeCell ref="H300:AB300"/>
    <mergeCell ref="A307:G307"/>
    <mergeCell ref="A290:G291"/>
    <mergeCell ref="A292:G292"/>
    <mergeCell ref="A293:G293"/>
    <mergeCell ref="A294:G294"/>
    <mergeCell ref="AC309:AD309"/>
    <mergeCell ref="AF311:AO311"/>
    <mergeCell ref="AF312:AO312"/>
    <mergeCell ref="AF313:AO313"/>
    <mergeCell ref="AC311:AD311"/>
    <mergeCell ref="A311:G311"/>
    <mergeCell ref="A301:G301"/>
    <mergeCell ref="A302:G302"/>
    <mergeCell ref="AC313:AD313"/>
    <mergeCell ref="H310:AB310"/>
    <mergeCell ref="AC304:AD304"/>
    <mergeCell ref="H306:AB306"/>
    <mergeCell ref="AC306:AD306"/>
    <mergeCell ref="AC294:AD294"/>
    <mergeCell ref="H313:AB313"/>
    <mergeCell ref="AF309:AO309"/>
    <mergeCell ref="A314:G314"/>
    <mergeCell ref="N289:X289"/>
    <mergeCell ref="H290:AB291"/>
    <mergeCell ref="H292:AB292"/>
    <mergeCell ref="H293:AB293"/>
    <mergeCell ref="H298:AB298"/>
    <mergeCell ref="H294:AB294"/>
    <mergeCell ref="H295:AB295"/>
    <mergeCell ref="H296:AB296"/>
    <mergeCell ref="A295:G295"/>
    <mergeCell ref="A296:G296"/>
    <mergeCell ref="A299:G299"/>
    <mergeCell ref="A297:G297"/>
    <mergeCell ref="C85:F85"/>
    <mergeCell ref="I85:N85"/>
    <mergeCell ref="Q85:X85"/>
    <mergeCell ref="Y85:AA85"/>
    <mergeCell ref="H311:AB311"/>
    <mergeCell ref="H314:AB314"/>
    <mergeCell ref="Z88:AA88"/>
    <mergeCell ref="K87:L88"/>
    <mergeCell ref="M87:N88"/>
    <mergeCell ref="Q87:R87"/>
    <mergeCell ref="W87:X87"/>
    <mergeCell ref="Q88:R88"/>
    <mergeCell ref="C90:H90"/>
    <mergeCell ref="I90:J90"/>
    <mergeCell ref="S90:T90"/>
    <mergeCell ref="W90:X90"/>
    <mergeCell ref="Z90:AA90"/>
    <mergeCell ref="C92:H92"/>
    <mergeCell ref="I92:J92"/>
    <mergeCell ref="AC314:AD314"/>
    <mergeCell ref="H301:AB301"/>
    <mergeCell ref="H302:AB302"/>
    <mergeCell ref="H303:AB303"/>
    <mergeCell ref="H297:AB297"/>
    <mergeCell ref="AN85:AO87"/>
    <mergeCell ref="AI86:AJ86"/>
    <mergeCell ref="AK86:AM86"/>
    <mergeCell ref="AK88:AM88"/>
    <mergeCell ref="AN88:AO88"/>
    <mergeCell ref="K84:T84"/>
    <mergeCell ref="V84:X84"/>
    <mergeCell ref="Y84:AG84"/>
    <mergeCell ref="AG87:AH87"/>
    <mergeCell ref="AI87:AJ87"/>
    <mergeCell ref="C86:H86"/>
    <mergeCell ref="I86:J86"/>
    <mergeCell ref="K86:N86"/>
    <mergeCell ref="Q86:R86"/>
    <mergeCell ref="S88:T88"/>
    <mergeCell ref="W88:X88"/>
    <mergeCell ref="S86:T86"/>
    <mergeCell ref="W86:X86"/>
    <mergeCell ref="Z86:AA86"/>
    <mergeCell ref="AG86:AH86"/>
    <mergeCell ref="AB85:AB87"/>
    <mergeCell ref="AC85:AC89"/>
    <mergeCell ref="AD85:AM85"/>
    <mergeCell ref="Z87:AA87"/>
    <mergeCell ref="AG88:AH88"/>
    <mergeCell ref="AI88:AJ88"/>
    <mergeCell ref="M89:N89"/>
    <mergeCell ref="AN93:AO93"/>
    <mergeCell ref="C94:H94"/>
    <mergeCell ref="I94:J94"/>
    <mergeCell ref="S94:T94"/>
    <mergeCell ref="W94:X94"/>
    <mergeCell ref="Z94:AA94"/>
    <mergeCell ref="AG94:AH94"/>
    <mergeCell ref="AI94:AJ94"/>
    <mergeCell ref="AK94:AM94"/>
    <mergeCell ref="AN94:AO94"/>
    <mergeCell ref="Q94:R94"/>
    <mergeCell ref="C95:H95"/>
    <mergeCell ref="I95:J95"/>
    <mergeCell ref="S95:T95"/>
    <mergeCell ref="W95:X95"/>
    <mergeCell ref="Z95:AA95"/>
    <mergeCell ref="AG95:AH95"/>
    <mergeCell ref="AI95:AJ95"/>
    <mergeCell ref="AK95:AM95"/>
    <mergeCell ref="AN95:AO95"/>
    <mergeCell ref="I96:J96"/>
    <mergeCell ref="S96:T96"/>
    <mergeCell ref="W96:X96"/>
    <mergeCell ref="Z96:AA96"/>
    <mergeCell ref="AG96:AH96"/>
    <mergeCell ref="AI96:AJ96"/>
    <mergeCell ref="AK96:AM96"/>
    <mergeCell ref="AN96:AO96"/>
    <mergeCell ref="Q95:R95"/>
    <mergeCell ref="Q96:R96"/>
    <mergeCell ref="C97:H97"/>
    <mergeCell ref="I97:J97"/>
    <mergeCell ref="S97:T97"/>
    <mergeCell ref="W97:X97"/>
    <mergeCell ref="Z97:AA97"/>
    <mergeCell ref="AG97:AH97"/>
    <mergeCell ref="AI97:AJ97"/>
    <mergeCell ref="AK97:AM97"/>
    <mergeCell ref="AN97:AO97"/>
    <mergeCell ref="I98:J98"/>
    <mergeCell ref="S98:T98"/>
    <mergeCell ref="W98:X98"/>
    <mergeCell ref="Z98:AA98"/>
    <mergeCell ref="AG98:AH98"/>
    <mergeCell ref="AI98:AJ98"/>
    <mergeCell ref="AK98:AM98"/>
    <mergeCell ref="AN98:AO98"/>
    <mergeCell ref="Q97:R97"/>
    <mergeCell ref="Q98:R98"/>
    <mergeCell ref="C99:H99"/>
    <mergeCell ref="I99:J99"/>
    <mergeCell ref="S99:T99"/>
    <mergeCell ref="W99:X99"/>
    <mergeCell ref="Z99:AA99"/>
    <mergeCell ref="AG99:AH99"/>
    <mergeCell ref="AI99:AJ99"/>
    <mergeCell ref="AK99:AM99"/>
    <mergeCell ref="AN99:AO99"/>
    <mergeCell ref="I100:J100"/>
    <mergeCell ref="S100:T100"/>
    <mergeCell ref="W100:X100"/>
    <mergeCell ref="Z100:AA100"/>
    <mergeCell ref="AG100:AH100"/>
    <mergeCell ref="AI100:AJ100"/>
    <mergeCell ref="AK100:AM100"/>
    <mergeCell ref="AN100:AO100"/>
    <mergeCell ref="Q99:R99"/>
    <mergeCell ref="Q100:R100"/>
    <mergeCell ref="C101:H101"/>
    <mergeCell ref="I101:J101"/>
    <mergeCell ref="S101:T101"/>
    <mergeCell ref="W101:X101"/>
    <mergeCell ref="Z101:AA101"/>
    <mergeCell ref="AG101:AH101"/>
    <mergeCell ref="AI101:AJ101"/>
    <mergeCell ref="AK101:AM101"/>
    <mergeCell ref="AN101:AO101"/>
    <mergeCell ref="I102:J102"/>
    <mergeCell ref="S102:T102"/>
    <mergeCell ref="W102:X102"/>
    <mergeCell ref="Z102:AA102"/>
    <mergeCell ref="AG102:AH102"/>
    <mergeCell ref="AI102:AJ102"/>
    <mergeCell ref="AK102:AM102"/>
    <mergeCell ref="AN102:AO102"/>
    <mergeCell ref="Q101:R101"/>
    <mergeCell ref="Q102:R102"/>
    <mergeCell ref="C103:H103"/>
    <mergeCell ref="I103:J103"/>
    <mergeCell ref="S103:T103"/>
    <mergeCell ref="W103:X103"/>
    <mergeCell ref="Z103:AA103"/>
    <mergeCell ref="AG103:AH103"/>
    <mergeCell ref="AI103:AJ103"/>
    <mergeCell ref="AK103:AM103"/>
    <mergeCell ref="AN103:AO103"/>
    <mergeCell ref="I104:J104"/>
    <mergeCell ref="S104:T104"/>
    <mergeCell ref="W104:X104"/>
    <mergeCell ref="Z104:AA104"/>
    <mergeCell ref="AG104:AH104"/>
    <mergeCell ref="AI104:AJ104"/>
    <mergeCell ref="AK104:AM104"/>
    <mergeCell ref="AN104:AO104"/>
    <mergeCell ref="Q104:R104"/>
    <mergeCell ref="Q103:R103"/>
    <mergeCell ref="C105:H105"/>
    <mergeCell ref="I105:J105"/>
    <mergeCell ref="S105:T105"/>
    <mergeCell ref="W105:X105"/>
    <mergeCell ref="Z105:AA105"/>
    <mergeCell ref="AG105:AH105"/>
    <mergeCell ref="AI105:AJ105"/>
    <mergeCell ref="AK105:AM105"/>
    <mergeCell ref="AN105:AO105"/>
    <mergeCell ref="AK111:AM111"/>
    <mergeCell ref="AN111:AO111"/>
    <mergeCell ref="I106:J106"/>
    <mergeCell ref="S106:T106"/>
    <mergeCell ref="W106:X106"/>
    <mergeCell ref="Z106:AA106"/>
    <mergeCell ref="AG106:AH106"/>
    <mergeCell ref="AI106:AJ106"/>
    <mergeCell ref="AK106:AM106"/>
    <mergeCell ref="AN106:AO106"/>
    <mergeCell ref="Q105:R105"/>
    <mergeCell ref="C107:H107"/>
    <mergeCell ref="I107:J107"/>
    <mergeCell ref="S107:T107"/>
    <mergeCell ref="W107:X107"/>
    <mergeCell ref="Z107:AA107"/>
    <mergeCell ref="AG107:AH107"/>
    <mergeCell ref="AI107:AJ107"/>
    <mergeCell ref="AK107:AM107"/>
    <mergeCell ref="AN107:AO107"/>
    <mergeCell ref="H123:R123"/>
    <mergeCell ref="AG123:AH123"/>
    <mergeCell ref="K125:T125"/>
    <mergeCell ref="V125:X125"/>
    <mergeCell ref="Y125:AG125"/>
    <mergeCell ref="AN126:AO128"/>
    <mergeCell ref="AI127:AJ127"/>
    <mergeCell ref="AK127:AM127"/>
    <mergeCell ref="C110:H110"/>
    <mergeCell ref="I108:J108"/>
    <mergeCell ref="S108:T108"/>
    <mergeCell ref="W108:X108"/>
    <mergeCell ref="AK108:AM108"/>
    <mergeCell ref="AN108:AO108"/>
    <mergeCell ref="Z108:AA108"/>
    <mergeCell ref="AG108:AH108"/>
    <mergeCell ref="W109:X109"/>
    <mergeCell ref="S110:T110"/>
    <mergeCell ref="W110:X110"/>
    <mergeCell ref="C109:H109"/>
    <mergeCell ref="I109:J109"/>
    <mergeCell ref="S109:T109"/>
    <mergeCell ref="AK110:AM110"/>
    <mergeCell ref="AI108:AJ108"/>
    <mergeCell ref="AN110:AO110"/>
    <mergeCell ref="W127:X127"/>
    <mergeCell ref="Q111:R111"/>
    <mergeCell ref="S111:T111"/>
    <mergeCell ref="W111:X111"/>
    <mergeCell ref="Z111:AA111"/>
    <mergeCell ref="AG111:AH111"/>
    <mergeCell ref="AI111:AJ111"/>
    <mergeCell ref="W128:X128"/>
    <mergeCell ref="S127:T127"/>
    <mergeCell ref="AI128:AJ128"/>
    <mergeCell ref="Q129:R129"/>
    <mergeCell ref="S129:T129"/>
    <mergeCell ref="W129:X129"/>
    <mergeCell ref="Z129:AA129"/>
    <mergeCell ref="AG129:AH129"/>
    <mergeCell ref="AI129:AJ129"/>
    <mergeCell ref="Z128:AA128"/>
    <mergeCell ref="E115:R115"/>
    <mergeCell ref="W115:AK115"/>
    <mergeCell ref="Z109:AA109"/>
    <mergeCell ref="AG109:AH109"/>
    <mergeCell ref="AI109:AJ109"/>
    <mergeCell ref="AK109:AM109"/>
    <mergeCell ref="AN109:AO109"/>
    <mergeCell ref="C119:F119"/>
    <mergeCell ref="I119:K119"/>
    <mergeCell ref="AB119:AC119"/>
    <mergeCell ref="Z110:AA110"/>
    <mergeCell ref="I110:J110"/>
    <mergeCell ref="E117:R117"/>
    <mergeCell ref="W117:AK117"/>
    <mergeCell ref="Q110:R110"/>
    <mergeCell ref="AG110:AH110"/>
    <mergeCell ref="AI110:AJ110"/>
    <mergeCell ref="M109:N109"/>
    <mergeCell ref="M110:N110"/>
    <mergeCell ref="M111:N111"/>
    <mergeCell ref="AG128:AH128"/>
    <mergeCell ref="Y121:AO121"/>
    <mergeCell ref="M131:N131"/>
    <mergeCell ref="C135:H135"/>
    <mergeCell ref="I135:J135"/>
    <mergeCell ref="Q135:R135"/>
    <mergeCell ref="S135:T135"/>
    <mergeCell ref="W135:X135"/>
    <mergeCell ref="AG135:AH135"/>
    <mergeCell ref="AI135:AJ135"/>
    <mergeCell ref="AK135:AM135"/>
    <mergeCell ref="C134:H134"/>
    <mergeCell ref="I134:J134"/>
    <mergeCell ref="Q134:R134"/>
    <mergeCell ref="M132:N132"/>
    <mergeCell ref="M133:N133"/>
    <mergeCell ref="AK129:AM129"/>
    <mergeCell ref="AN129:AO129"/>
    <mergeCell ref="C126:F126"/>
    <mergeCell ref="I126:N126"/>
    <mergeCell ref="Q126:X126"/>
    <mergeCell ref="Y126:AA126"/>
    <mergeCell ref="Z127:AA127"/>
    <mergeCell ref="AG127:AH127"/>
    <mergeCell ref="C127:H127"/>
    <mergeCell ref="I127:J127"/>
    <mergeCell ref="K127:N127"/>
    <mergeCell ref="Q127:R127"/>
    <mergeCell ref="AB126:AB128"/>
    <mergeCell ref="AC126:AC130"/>
    <mergeCell ref="AD126:AM126"/>
    <mergeCell ref="K128:L129"/>
    <mergeCell ref="M128:N129"/>
    <mergeCell ref="Q128:R128"/>
    <mergeCell ref="AN131:AO131"/>
    <mergeCell ref="M130:N130"/>
    <mergeCell ref="AI130:AJ130"/>
    <mergeCell ref="AN130:AO130"/>
    <mergeCell ref="Z131:AA131"/>
    <mergeCell ref="Z133:AA133"/>
    <mergeCell ref="S132:T132"/>
    <mergeCell ref="W132:X132"/>
    <mergeCell ref="Z132:AA132"/>
    <mergeCell ref="AG132:AH132"/>
    <mergeCell ref="C132:H132"/>
    <mergeCell ref="I132:J132"/>
    <mergeCell ref="Q132:R132"/>
    <mergeCell ref="C133:H133"/>
    <mergeCell ref="I133:J133"/>
    <mergeCell ref="Q133:R133"/>
    <mergeCell ref="S133:T133"/>
    <mergeCell ref="W133:X133"/>
    <mergeCell ref="AG133:AH133"/>
    <mergeCell ref="AI133:AJ133"/>
    <mergeCell ref="AK133:AM133"/>
    <mergeCell ref="AN133:AO133"/>
    <mergeCell ref="AI132:AJ132"/>
    <mergeCell ref="AK132:AM132"/>
    <mergeCell ref="AN132:AO132"/>
    <mergeCell ref="I131:J131"/>
    <mergeCell ref="Q131:R131"/>
    <mergeCell ref="S131:T131"/>
    <mergeCell ref="W131:X131"/>
    <mergeCell ref="AG131:AH131"/>
    <mergeCell ref="AI131:AJ131"/>
    <mergeCell ref="AK131:AM131"/>
    <mergeCell ref="AN135:AO135"/>
    <mergeCell ref="AI134:AJ134"/>
    <mergeCell ref="AK134:AM134"/>
    <mergeCell ref="AN134:AO134"/>
    <mergeCell ref="AG139:AH139"/>
    <mergeCell ref="AI139:AJ139"/>
    <mergeCell ref="AK139:AM139"/>
    <mergeCell ref="AN139:AO139"/>
    <mergeCell ref="AI138:AJ138"/>
    <mergeCell ref="AK138:AM138"/>
    <mergeCell ref="AN138:AO138"/>
    <mergeCell ref="Z137:AA137"/>
    <mergeCell ref="S136:T136"/>
    <mergeCell ref="W136:X136"/>
    <mergeCell ref="Z136:AA136"/>
    <mergeCell ref="AG136:AH136"/>
    <mergeCell ref="AK137:AM137"/>
    <mergeCell ref="AN137:AO137"/>
    <mergeCell ref="AK136:AM136"/>
    <mergeCell ref="AN136:AO136"/>
    <mergeCell ref="Z135:AA135"/>
    <mergeCell ref="S134:T134"/>
    <mergeCell ref="W134:X134"/>
    <mergeCell ref="Z134:AA134"/>
    <mergeCell ref="AG134:AH134"/>
    <mergeCell ref="S137:T137"/>
    <mergeCell ref="W137:X137"/>
    <mergeCell ref="AG137:AH137"/>
    <mergeCell ref="AI137:AJ137"/>
    <mergeCell ref="Q140:R140"/>
    <mergeCell ref="C141:H141"/>
    <mergeCell ref="I141:J141"/>
    <mergeCell ref="Q141:R141"/>
    <mergeCell ref="S141:T141"/>
    <mergeCell ref="W141:X141"/>
    <mergeCell ref="AG141:AH141"/>
    <mergeCell ref="AI141:AJ141"/>
    <mergeCell ref="AI136:AJ136"/>
    <mergeCell ref="Z139:AA139"/>
    <mergeCell ref="S138:T138"/>
    <mergeCell ref="W138:X138"/>
    <mergeCell ref="Z138:AA138"/>
    <mergeCell ref="AG138:AH138"/>
    <mergeCell ref="C138:H138"/>
    <mergeCell ref="I138:J138"/>
    <mergeCell ref="S139:T139"/>
    <mergeCell ref="W139:X139"/>
    <mergeCell ref="Q138:R138"/>
    <mergeCell ref="C139:H139"/>
    <mergeCell ref="I139:J139"/>
    <mergeCell ref="Q139:R139"/>
    <mergeCell ref="C136:H136"/>
    <mergeCell ref="I136:J136"/>
    <mergeCell ref="Q136:R136"/>
    <mergeCell ref="C137:H137"/>
    <mergeCell ref="I137:J137"/>
    <mergeCell ref="Q137:R137"/>
    <mergeCell ref="AK141:AM141"/>
    <mergeCell ref="AN141:AO141"/>
    <mergeCell ref="AI140:AJ140"/>
    <mergeCell ref="AK140:AM140"/>
    <mergeCell ref="AN140:AO140"/>
    <mergeCell ref="Z143:AA143"/>
    <mergeCell ref="S142:T142"/>
    <mergeCell ref="W142:X142"/>
    <mergeCell ref="Z142:AA142"/>
    <mergeCell ref="AG142:AH142"/>
    <mergeCell ref="C142:H142"/>
    <mergeCell ref="I142:J142"/>
    <mergeCell ref="Q142:R142"/>
    <mergeCell ref="C143:H143"/>
    <mergeCell ref="I143:J143"/>
    <mergeCell ref="Q143:R143"/>
    <mergeCell ref="S143:T143"/>
    <mergeCell ref="W143:X143"/>
    <mergeCell ref="AG143:AH143"/>
    <mergeCell ref="AI143:AJ143"/>
    <mergeCell ref="AK143:AM143"/>
    <mergeCell ref="AN143:AO143"/>
    <mergeCell ref="AI142:AJ142"/>
    <mergeCell ref="AK142:AM142"/>
    <mergeCell ref="AN142:AO142"/>
    <mergeCell ref="Z141:AA141"/>
    <mergeCell ref="S140:T140"/>
    <mergeCell ref="W140:X140"/>
    <mergeCell ref="Z140:AA140"/>
    <mergeCell ref="AG140:AH140"/>
    <mergeCell ref="C140:H140"/>
    <mergeCell ref="I140:J140"/>
    <mergeCell ref="AN148:AO148"/>
    <mergeCell ref="S148:T148"/>
    <mergeCell ref="W148:X148"/>
    <mergeCell ref="Z148:AA148"/>
    <mergeCell ref="AG148:AH148"/>
    <mergeCell ref="C148:H148"/>
    <mergeCell ref="I148:J148"/>
    <mergeCell ref="Q148:R148"/>
    <mergeCell ref="AI146:AJ146"/>
    <mergeCell ref="AK146:AM146"/>
    <mergeCell ref="AN146:AO146"/>
    <mergeCell ref="Z145:AA145"/>
    <mergeCell ref="S144:T144"/>
    <mergeCell ref="W144:X144"/>
    <mergeCell ref="Z144:AA144"/>
    <mergeCell ref="AG144:AH144"/>
    <mergeCell ref="C144:H144"/>
    <mergeCell ref="I144:J144"/>
    <mergeCell ref="Q144:R144"/>
    <mergeCell ref="C145:H145"/>
    <mergeCell ref="I145:J145"/>
    <mergeCell ref="Q145:R145"/>
    <mergeCell ref="S145:T145"/>
    <mergeCell ref="W145:X145"/>
    <mergeCell ref="AG145:AH145"/>
    <mergeCell ref="AI145:AJ145"/>
    <mergeCell ref="AK145:AM145"/>
    <mergeCell ref="AN145:AO145"/>
    <mergeCell ref="AI144:AJ144"/>
    <mergeCell ref="AK144:AM144"/>
    <mergeCell ref="AN144:AO144"/>
    <mergeCell ref="M144:N144"/>
    <mergeCell ref="AN150:AO150"/>
    <mergeCell ref="C151:H151"/>
    <mergeCell ref="I151:J151"/>
    <mergeCell ref="Q151:R151"/>
    <mergeCell ref="S151:T151"/>
    <mergeCell ref="W151:X151"/>
    <mergeCell ref="Z149:AA149"/>
    <mergeCell ref="C149:H149"/>
    <mergeCell ref="I149:J149"/>
    <mergeCell ref="Q149:R149"/>
    <mergeCell ref="S149:T149"/>
    <mergeCell ref="W149:X149"/>
    <mergeCell ref="AG149:AH149"/>
    <mergeCell ref="AI149:AJ149"/>
    <mergeCell ref="Z147:AA147"/>
    <mergeCell ref="S146:T146"/>
    <mergeCell ref="W146:X146"/>
    <mergeCell ref="Z146:AA146"/>
    <mergeCell ref="AG146:AH146"/>
    <mergeCell ref="C146:H146"/>
    <mergeCell ref="I146:J146"/>
    <mergeCell ref="Q146:R146"/>
    <mergeCell ref="C147:H147"/>
    <mergeCell ref="I147:J147"/>
    <mergeCell ref="Q147:R147"/>
    <mergeCell ref="S147:T147"/>
    <mergeCell ref="W147:X147"/>
    <mergeCell ref="AG147:AH147"/>
    <mergeCell ref="AI147:AJ147"/>
    <mergeCell ref="AK147:AM147"/>
    <mergeCell ref="AN147:AO147"/>
    <mergeCell ref="AK148:AM148"/>
    <mergeCell ref="W156:AK156"/>
    <mergeCell ref="E158:R158"/>
    <mergeCell ref="W158:AK158"/>
    <mergeCell ref="AG151:AH151"/>
    <mergeCell ref="AI151:AJ151"/>
    <mergeCell ref="AK151:AM151"/>
    <mergeCell ref="Z151:AA151"/>
    <mergeCell ref="H164:R164"/>
    <mergeCell ref="AG164:AH164"/>
    <mergeCell ref="K166:T166"/>
    <mergeCell ref="V166:X166"/>
    <mergeCell ref="Y166:AG166"/>
    <mergeCell ref="C160:F160"/>
    <mergeCell ref="I160:K160"/>
    <mergeCell ref="AB160:AC160"/>
    <mergeCell ref="Y162:AO162"/>
    <mergeCell ref="M151:N151"/>
    <mergeCell ref="M152:N152"/>
    <mergeCell ref="AN151:AO151"/>
    <mergeCell ref="C152:H152"/>
    <mergeCell ref="I152:J152"/>
    <mergeCell ref="Q152:R152"/>
    <mergeCell ref="S152:T152"/>
    <mergeCell ref="W152:X152"/>
    <mergeCell ref="Z152:AA152"/>
    <mergeCell ref="AG152:AH152"/>
    <mergeCell ref="AI152:AJ152"/>
    <mergeCell ref="AK152:AM152"/>
    <mergeCell ref="AN152:AO152"/>
    <mergeCell ref="AN167:AO169"/>
    <mergeCell ref="AI168:AJ168"/>
    <mergeCell ref="AK168:AM168"/>
    <mergeCell ref="AK170:AM170"/>
    <mergeCell ref="AN170:AO170"/>
    <mergeCell ref="C167:F167"/>
    <mergeCell ref="I167:N167"/>
    <mergeCell ref="Q167:X167"/>
    <mergeCell ref="Y167:AA167"/>
    <mergeCell ref="Z168:AA168"/>
    <mergeCell ref="AG168:AH168"/>
    <mergeCell ref="C168:H168"/>
    <mergeCell ref="I168:J168"/>
    <mergeCell ref="K168:N168"/>
    <mergeCell ref="Q168:R168"/>
    <mergeCell ref="AB167:AB169"/>
    <mergeCell ref="AC167:AC171"/>
    <mergeCell ref="AD167:AM167"/>
    <mergeCell ref="K169:L170"/>
    <mergeCell ref="M169:N170"/>
    <mergeCell ref="Q169:R169"/>
    <mergeCell ref="W169:X169"/>
    <mergeCell ref="S168:T168"/>
    <mergeCell ref="W168:X168"/>
    <mergeCell ref="Z169:AA169"/>
    <mergeCell ref="AG169:AH169"/>
    <mergeCell ref="AI169:AJ169"/>
    <mergeCell ref="Q170:R170"/>
    <mergeCell ref="S170:T170"/>
    <mergeCell ref="W170:X170"/>
    <mergeCell ref="Z170:AA170"/>
    <mergeCell ref="AG170:AH170"/>
    <mergeCell ref="AI170:AJ170"/>
    <mergeCell ref="C172:H172"/>
    <mergeCell ref="I172:J172"/>
    <mergeCell ref="Q172:R172"/>
    <mergeCell ref="S172:T172"/>
    <mergeCell ref="W172:X172"/>
    <mergeCell ref="AG172:AH172"/>
    <mergeCell ref="AI172:AJ172"/>
    <mergeCell ref="AK172:AM172"/>
    <mergeCell ref="AN172:AO172"/>
    <mergeCell ref="M171:N171"/>
    <mergeCell ref="AI171:AJ171"/>
    <mergeCell ref="AN171:AO171"/>
    <mergeCell ref="Z172:AA172"/>
    <mergeCell ref="Z174:AA174"/>
    <mergeCell ref="S173:T173"/>
    <mergeCell ref="W173:X173"/>
    <mergeCell ref="Z173:AA173"/>
    <mergeCell ref="AG173:AH173"/>
    <mergeCell ref="C173:H173"/>
    <mergeCell ref="I173:J173"/>
    <mergeCell ref="Q173:R173"/>
    <mergeCell ref="C174:H174"/>
    <mergeCell ref="I174:J174"/>
    <mergeCell ref="Q174:R174"/>
    <mergeCell ref="S174:T174"/>
    <mergeCell ref="W174:X174"/>
    <mergeCell ref="AG174:AH174"/>
    <mergeCell ref="AI174:AJ174"/>
    <mergeCell ref="AI173:AJ173"/>
    <mergeCell ref="AK173:AM173"/>
    <mergeCell ref="AN173:AO173"/>
    <mergeCell ref="S178:T178"/>
    <mergeCell ref="W178:X178"/>
    <mergeCell ref="AG178:AH178"/>
    <mergeCell ref="AI178:AJ178"/>
    <mergeCell ref="AK174:AM174"/>
    <mergeCell ref="AN174:AO174"/>
    <mergeCell ref="Z176:AA176"/>
    <mergeCell ref="S175:T175"/>
    <mergeCell ref="W175:X175"/>
    <mergeCell ref="Z175:AA175"/>
    <mergeCell ref="AG175:AH175"/>
    <mergeCell ref="C175:H175"/>
    <mergeCell ref="I175:J175"/>
    <mergeCell ref="Q175:R175"/>
    <mergeCell ref="C176:H176"/>
    <mergeCell ref="I176:J176"/>
    <mergeCell ref="Q176:R176"/>
    <mergeCell ref="S176:T176"/>
    <mergeCell ref="W176:X176"/>
    <mergeCell ref="AG176:AH176"/>
    <mergeCell ref="AI176:AJ176"/>
    <mergeCell ref="AK176:AM176"/>
    <mergeCell ref="AN176:AO176"/>
    <mergeCell ref="AI175:AJ175"/>
    <mergeCell ref="AK175:AM175"/>
    <mergeCell ref="AN175:AO175"/>
    <mergeCell ref="AK178:AM178"/>
    <mergeCell ref="AN178:AO178"/>
    <mergeCell ref="AI177:AJ177"/>
    <mergeCell ref="AK177:AM177"/>
    <mergeCell ref="AN177:AO177"/>
    <mergeCell ref="Z178:AA178"/>
    <mergeCell ref="Z180:AA180"/>
    <mergeCell ref="S179:T179"/>
    <mergeCell ref="W179:X179"/>
    <mergeCell ref="Z179:AA179"/>
    <mergeCell ref="AG179:AH179"/>
    <mergeCell ref="C179:H179"/>
    <mergeCell ref="I179:J179"/>
    <mergeCell ref="Q179:R179"/>
    <mergeCell ref="C180:H180"/>
    <mergeCell ref="I180:J180"/>
    <mergeCell ref="Q180:R180"/>
    <mergeCell ref="S180:T180"/>
    <mergeCell ref="W180:X180"/>
    <mergeCell ref="AG180:AH180"/>
    <mergeCell ref="AI180:AJ180"/>
    <mergeCell ref="AK180:AM180"/>
    <mergeCell ref="AN180:AO180"/>
    <mergeCell ref="AI179:AJ179"/>
    <mergeCell ref="AK179:AM179"/>
    <mergeCell ref="AN179:AO179"/>
    <mergeCell ref="S177:T177"/>
    <mergeCell ref="W177:X177"/>
    <mergeCell ref="Z177:AA177"/>
    <mergeCell ref="AG177:AH177"/>
    <mergeCell ref="C177:H177"/>
    <mergeCell ref="I177:J177"/>
    <mergeCell ref="Q177:R177"/>
    <mergeCell ref="C178:H178"/>
    <mergeCell ref="I178:J178"/>
    <mergeCell ref="Q178:R178"/>
    <mergeCell ref="AI181:AJ181"/>
    <mergeCell ref="AK181:AM181"/>
    <mergeCell ref="AN181:AO181"/>
    <mergeCell ref="Z184:AA184"/>
    <mergeCell ref="S183:T183"/>
    <mergeCell ref="W183:X183"/>
    <mergeCell ref="Z183:AA183"/>
    <mergeCell ref="AG183:AH183"/>
    <mergeCell ref="C183:H183"/>
    <mergeCell ref="I183:J183"/>
    <mergeCell ref="Q183:R183"/>
    <mergeCell ref="C184:H184"/>
    <mergeCell ref="I184:J184"/>
    <mergeCell ref="Q184:R184"/>
    <mergeCell ref="S184:T184"/>
    <mergeCell ref="W184:X184"/>
    <mergeCell ref="AG184:AH184"/>
    <mergeCell ref="AI184:AJ184"/>
    <mergeCell ref="AK184:AM184"/>
    <mergeCell ref="AN184:AO184"/>
    <mergeCell ref="AI183:AJ183"/>
    <mergeCell ref="AK183:AM183"/>
    <mergeCell ref="AN183:AO183"/>
    <mergeCell ref="Z182:AA182"/>
    <mergeCell ref="S181:T181"/>
    <mergeCell ref="W181:X181"/>
    <mergeCell ref="Z181:AA181"/>
    <mergeCell ref="AG181:AH181"/>
    <mergeCell ref="C181:H181"/>
    <mergeCell ref="I181:J181"/>
    <mergeCell ref="Q181:R181"/>
    <mergeCell ref="C182:H182"/>
    <mergeCell ref="AN187:AO187"/>
    <mergeCell ref="Z186:AA186"/>
    <mergeCell ref="S185:T185"/>
    <mergeCell ref="W185:X185"/>
    <mergeCell ref="Z185:AA185"/>
    <mergeCell ref="AG185:AH185"/>
    <mergeCell ref="C185:H185"/>
    <mergeCell ref="I185:J185"/>
    <mergeCell ref="Q185:R185"/>
    <mergeCell ref="C186:H186"/>
    <mergeCell ref="I186:J186"/>
    <mergeCell ref="Q186:R186"/>
    <mergeCell ref="S186:T186"/>
    <mergeCell ref="W186:X186"/>
    <mergeCell ref="AG186:AH186"/>
    <mergeCell ref="AI186:AJ186"/>
    <mergeCell ref="AK182:AM182"/>
    <mergeCell ref="AN182:AO182"/>
    <mergeCell ref="I182:J182"/>
    <mergeCell ref="Q182:R182"/>
    <mergeCell ref="S182:T182"/>
    <mergeCell ref="W182:X182"/>
    <mergeCell ref="AG182:AH182"/>
    <mergeCell ref="AI182:AJ182"/>
    <mergeCell ref="Q189:R189"/>
    <mergeCell ref="C190:H190"/>
    <mergeCell ref="I190:J190"/>
    <mergeCell ref="Q190:R190"/>
    <mergeCell ref="S190:T190"/>
    <mergeCell ref="W190:X190"/>
    <mergeCell ref="AG190:AH190"/>
    <mergeCell ref="AI190:AJ190"/>
    <mergeCell ref="AK186:AM186"/>
    <mergeCell ref="AN186:AO186"/>
    <mergeCell ref="AI185:AJ185"/>
    <mergeCell ref="AK185:AM185"/>
    <mergeCell ref="AN185:AO185"/>
    <mergeCell ref="Z188:AA188"/>
    <mergeCell ref="S187:T187"/>
    <mergeCell ref="W187:X187"/>
    <mergeCell ref="Z187:AA187"/>
    <mergeCell ref="AG187:AH187"/>
    <mergeCell ref="C187:H187"/>
    <mergeCell ref="I187:J187"/>
    <mergeCell ref="Q187:R187"/>
    <mergeCell ref="C188:H188"/>
    <mergeCell ref="I188:J188"/>
    <mergeCell ref="Q188:R188"/>
    <mergeCell ref="S188:T188"/>
    <mergeCell ref="W188:X188"/>
    <mergeCell ref="AG188:AH188"/>
    <mergeCell ref="AI188:AJ188"/>
    <mergeCell ref="AK188:AM188"/>
    <mergeCell ref="AN188:AO188"/>
    <mergeCell ref="AI187:AJ187"/>
    <mergeCell ref="AK187:AM187"/>
    <mergeCell ref="M190:N190"/>
    <mergeCell ref="M191:N191"/>
    <mergeCell ref="M192:N192"/>
    <mergeCell ref="M193:N193"/>
    <mergeCell ref="AK190:AM190"/>
    <mergeCell ref="AN190:AO190"/>
    <mergeCell ref="AI189:AJ189"/>
    <mergeCell ref="AK189:AM189"/>
    <mergeCell ref="AN189:AO189"/>
    <mergeCell ref="S191:T191"/>
    <mergeCell ref="W191:X191"/>
    <mergeCell ref="Z191:AA191"/>
    <mergeCell ref="AG191:AH191"/>
    <mergeCell ref="C191:H191"/>
    <mergeCell ref="I191:J191"/>
    <mergeCell ref="Q191:R191"/>
    <mergeCell ref="AN192:AO192"/>
    <mergeCell ref="AI191:AJ191"/>
    <mergeCell ref="AK191:AM191"/>
    <mergeCell ref="AN191:AO191"/>
    <mergeCell ref="C192:H192"/>
    <mergeCell ref="I192:J192"/>
    <mergeCell ref="Q192:R192"/>
    <mergeCell ref="S192:T192"/>
    <mergeCell ref="W192:X192"/>
    <mergeCell ref="Z190:AA190"/>
    <mergeCell ref="S189:T189"/>
    <mergeCell ref="W189:X189"/>
    <mergeCell ref="Z189:AA189"/>
    <mergeCell ref="AG189:AH189"/>
    <mergeCell ref="W197:AK197"/>
    <mergeCell ref="E199:R199"/>
    <mergeCell ref="W199:AK199"/>
    <mergeCell ref="AG192:AH192"/>
    <mergeCell ref="AI192:AJ192"/>
    <mergeCell ref="AK192:AM192"/>
    <mergeCell ref="Z192:AA192"/>
    <mergeCell ref="H205:R205"/>
    <mergeCell ref="AG205:AH205"/>
    <mergeCell ref="K207:T207"/>
    <mergeCell ref="V207:X207"/>
    <mergeCell ref="Y207:AG207"/>
    <mergeCell ref="C201:F201"/>
    <mergeCell ref="I201:K201"/>
    <mergeCell ref="AB201:AC201"/>
    <mergeCell ref="Y203:AO203"/>
    <mergeCell ref="Q193:R193"/>
    <mergeCell ref="S193:T193"/>
    <mergeCell ref="W193:X193"/>
    <mergeCell ref="Z193:AA193"/>
    <mergeCell ref="AG193:AH193"/>
    <mergeCell ref="AI193:AJ193"/>
    <mergeCell ref="AK193:AM193"/>
    <mergeCell ref="AN193:AO193"/>
    <mergeCell ref="AN208:AO210"/>
    <mergeCell ref="AI209:AJ209"/>
    <mergeCell ref="AK209:AM209"/>
    <mergeCell ref="AK211:AM211"/>
    <mergeCell ref="AN211:AO211"/>
    <mergeCell ref="C208:F208"/>
    <mergeCell ref="I208:N208"/>
    <mergeCell ref="Q208:X208"/>
    <mergeCell ref="Y208:AA208"/>
    <mergeCell ref="Z209:AA209"/>
    <mergeCell ref="AG209:AH209"/>
    <mergeCell ref="C209:H209"/>
    <mergeCell ref="I209:J209"/>
    <mergeCell ref="K209:N209"/>
    <mergeCell ref="Q209:R209"/>
    <mergeCell ref="AB208:AB210"/>
    <mergeCell ref="AC208:AC212"/>
    <mergeCell ref="AD208:AM208"/>
    <mergeCell ref="K210:L211"/>
    <mergeCell ref="M210:N211"/>
    <mergeCell ref="Q210:R210"/>
    <mergeCell ref="W210:X210"/>
    <mergeCell ref="S209:T209"/>
    <mergeCell ref="W209:X209"/>
    <mergeCell ref="Z210:AA210"/>
    <mergeCell ref="AG210:AH210"/>
    <mergeCell ref="AI210:AJ210"/>
    <mergeCell ref="Q211:R211"/>
    <mergeCell ref="S211:T211"/>
    <mergeCell ref="W211:X211"/>
    <mergeCell ref="Z211:AA211"/>
    <mergeCell ref="AG211:AH211"/>
    <mergeCell ref="AI211:AJ211"/>
    <mergeCell ref="C213:H213"/>
    <mergeCell ref="I213:J213"/>
    <mergeCell ref="Q213:R213"/>
    <mergeCell ref="S213:T213"/>
    <mergeCell ref="W213:X213"/>
    <mergeCell ref="AG213:AH213"/>
    <mergeCell ref="AI213:AJ213"/>
    <mergeCell ref="AK213:AM213"/>
    <mergeCell ref="AN213:AO213"/>
    <mergeCell ref="M212:N212"/>
    <mergeCell ref="AI212:AJ212"/>
    <mergeCell ref="AN212:AO212"/>
    <mergeCell ref="Z213:AA213"/>
    <mergeCell ref="Z215:AA215"/>
    <mergeCell ref="S214:T214"/>
    <mergeCell ref="W214:X214"/>
    <mergeCell ref="Z214:AA214"/>
    <mergeCell ref="AG214:AH214"/>
    <mergeCell ref="C214:H214"/>
    <mergeCell ref="I214:J214"/>
    <mergeCell ref="Q214:R214"/>
    <mergeCell ref="C215:H215"/>
    <mergeCell ref="I215:J215"/>
    <mergeCell ref="Q215:R215"/>
    <mergeCell ref="S215:T215"/>
    <mergeCell ref="W215:X215"/>
    <mergeCell ref="AG215:AH215"/>
    <mergeCell ref="AI215:AJ215"/>
    <mergeCell ref="M214:N214"/>
    <mergeCell ref="M215:N215"/>
    <mergeCell ref="M213:N213"/>
    <mergeCell ref="AI219:AJ219"/>
    <mergeCell ref="AK215:AM215"/>
    <mergeCell ref="AN215:AO215"/>
    <mergeCell ref="AI214:AJ214"/>
    <mergeCell ref="AK214:AM214"/>
    <mergeCell ref="AN214:AO214"/>
    <mergeCell ref="Z217:AA217"/>
    <mergeCell ref="S216:T216"/>
    <mergeCell ref="W216:X216"/>
    <mergeCell ref="Z216:AA216"/>
    <mergeCell ref="AG216:AH216"/>
    <mergeCell ref="C216:H216"/>
    <mergeCell ref="I216:J216"/>
    <mergeCell ref="Q216:R216"/>
    <mergeCell ref="C217:H217"/>
    <mergeCell ref="I217:J217"/>
    <mergeCell ref="Q217:R217"/>
    <mergeCell ref="S217:T217"/>
    <mergeCell ref="W217:X217"/>
    <mergeCell ref="AG217:AH217"/>
    <mergeCell ref="AI217:AJ217"/>
    <mergeCell ref="AK217:AM217"/>
    <mergeCell ref="AN217:AO217"/>
    <mergeCell ref="AI216:AJ216"/>
    <mergeCell ref="AK216:AM216"/>
    <mergeCell ref="AN216:AO216"/>
    <mergeCell ref="AK219:AM219"/>
    <mergeCell ref="AN219:AO219"/>
    <mergeCell ref="AI218:AJ218"/>
    <mergeCell ref="AK218:AM218"/>
    <mergeCell ref="AN218:AO218"/>
    <mergeCell ref="Z219:AA219"/>
    <mergeCell ref="Z220:AA220"/>
    <mergeCell ref="AG220:AH220"/>
    <mergeCell ref="C220:H220"/>
    <mergeCell ref="I220:J220"/>
    <mergeCell ref="Q220:R220"/>
    <mergeCell ref="C221:H221"/>
    <mergeCell ref="I221:J221"/>
    <mergeCell ref="Q221:R221"/>
    <mergeCell ref="S221:T221"/>
    <mergeCell ref="W221:X221"/>
    <mergeCell ref="AG221:AH221"/>
    <mergeCell ref="AI221:AJ221"/>
    <mergeCell ref="AK221:AM221"/>
    <mergeCell ref="AN221:AO221"/>
    <mergeCell ref="AI220:AJ220"/>
    <mergeCell ref="AK220:AM220"/>
    <mergeCell ref="AN220:AO220"/>
    <mergeCell ref="S218:T218"/>
    <mergeCell ref="W218:X218"/>
    <mergeCell ref="Z218:AA218"/>
    <mergeCell ref="AG218:AH218"/>
    <mergeCell ref="C218:H218"/>
    <mergeCell ref="I218:J218"/>
    <mergeCell ref="S219:T219"/>
    <mergeCell ref="W219:X219"/>
    <mergeCell ref="AG219:AH219"/>
    <mergeCell ref="AK225:AM225"/>
    <mergeCell ref="AN225:AO225"/>
    <mergeCell ref="AI224:AJ224"/>
    <mergeCell ref="AK224:AM224"/>
    <mergeCell ref="AN224:AO224"/>
    <mergeCell ref="Z223:AA223"/>
    <mergeCell ref="S222:T222"/>
    <mergeCell ref="W222:X222"/>
    <mergeCell ref="Z222:AA222"/>
    <mergeCell ref="AG222:AH222"/>
    <mergeCell ref="C222:H222"/>
    <mergeCell ref="I222:J222"/>
    <mergeCell ref="Q222:R222"/>
    <mergeCell ref="C223:H223"/>
    <mergeCell ref="I223:J223"/>
    <mergeCell ref="Q223:R223"/>
    <mergeCell ref="S223:T223"/>
    <mergeCell ref="W223:X223"/>
    <mergeCell ref="AG223:AH223"/>
    <mergeCell ref="AI223:AJ223"/>
    <mergeCell ref="Z221:AA221"/>
    <mergeCell ref="S220:T220"/>
    <mergeCell ref="W220:X220"/>
    <mergeCell ref="Z226:AA226"/>
    <mergeCell ref="AG226:AH226"/>
    <mergeCell ref="C226:H226"/>
    <mergeCell ref="I226:J226"/>
    <mergeCell ref="Q226:R226"/>
    <mergeCell ref="C227:H227"/>
    <mergeCell ref="I227:J227"/>
    <mergeCell ref="Q227:R227"/>
    <mergeCell ref="S227:T227"/>
    <mergeCell ref="W227:X227"/>
    <mergeCell ref="AG227:AH227"/>
    <mergeCell ref="AI227:AJ227"/>
    <mergeCell ref="AK223:AM223"/>
    <mergeCell ref="AN223:AO223"/>
    <mergeCell ref="AI222:AJ222"/>
    <mergeCell ref="AK222:AM222"/>
    <mergeCell ref="AN222:AO222"/>
    <mergeCell ref="Z225:AA225"/>
    <mergeCell ref="S224:T224"/>
    <mergeCell ref="W224:X224"/>
    <mergeCell ref="Z224:AA224"/>
    <mergeCell ref="AG224:AH224"/>
    <mergeCell ref="C224:H224"/>
    <mergeCell ref="I224:J224"/>
    <mergeCell ref="Q224:R224"/>
    <mergeCell ref="C225:H225"/>
    <mergeCell ref="I225:J225"/>
    <mergeCell ref="Q225:R225"/>
    <mergeCell ref="S225:T225"/>
    <mergeCell ref="W225:X225"/>
    <mergeCell ref="AG225:AH225"/>
    <mergeCell ref="AI225:AJ225"/>
    <mergeCell ref="S231:T231"/>
    <mergeCell ref="W231:X231"/>
    <mergeCell ref="AG231:AH231"/>
    <mergeCell ref="AI231:AJ231"/>
    <mergeCell ref="AK227:AM227"/>
    <mergeCell ref="AN227:AO227"/>
    <mergeCell ref="AI226:AJ226"/>
    <mergeCell ref="AK226:AM226"/>
    <mergeCell ref="AN226:AO226"/>
    <mergeCell ref="Z229:AA229"/>
    <mergeCell ref="S228:T228"/>
    <mergeCell ref="W228:X228"/>
    <mergeCell ref="Z228:AA228"/>
    <mergeCell ref="AG228:AH228"/>
    <mergeCell ref="C228:H228"/>
    <mergeCell ref="I228:J228"/>
    <mergeCell ref="Q228:R228"/>
    <mergeCell ref="C229:H229"/>
    <mergeCell ref="I229:J229"/>
    <mergeCell ref="Q229:R229"/>
    <mergeCell ref="S229:T229"/>
    <mergeCell ref="W229:X229"/>
    <mergeCell ref="AG229:AH229"/>
    <mergeCell ref="AI229:AJ229"/>
    <mergeCell ref="AK229:AM229"/>
    <mergeCell ref="AN229:AO229"/>
    <mergeCell ref="AI228:AJ228"/>
    <mergeCell ref="AK228:AM228"/>
    <mergeCell ref="AN228:AO228"/>
    <mergeCell ref="Z227:AA227"/>
    <mergeCell ref="S226:T226"/>
    <mergeCell ref="W226:X226"/>
    <mergeCell ref="AK231:AM231"/>
    <mergeCell ref="AN231:AO231"/>
    <mergeCell ref="AI230:AJ230"/>
    <mergeCell ref="AK230:AM230"/>
    <mergeCell ref="AN230:AO230"/>
    <mergeCell ref="S232:T232"/>
    <mergeCell ref="W232:X232"/>
    <mergeCell ref="Z232:AA232"/>
    <mergeCell ref="AG232:AH232"/>
    <mergeCell ref="C232:H232"/>
    <mergeCell ref="I232:J232"/>
    <mergeCell ref="Q232:R232"/>
    <mergeCell ref="AN233:AO233"/>
    <mergeCell ref="AI232:AJ232"/>
    <mergeCell ref="AK232:AM232"/>
    <mergeCell ref="AN232:AO232"/>
    <mergeCell ref="C233:H233"/>
    <mergeCell ref="I233:J233"/>
    <mergeCell ref="Q233:R233"/>
    <mergeCell ref="S233:T233"/>
    <mergeCell ref="W233:X233"/>
    <mergeCell ref="Z231:AA231"/>
    <mergeCell ref="S230:T230"/>
    <mergeCell ref="W230:X230"/>
    <mergeCell ref="Z230:AA230"/>
    <mergeCell ref="AG230:AH230"/>
    <mergeCell ref="C230:H230"/>
    <mergeCell ref="I230:J230"/>
    <mergeCell ref="Q230:R230"/>
    <mergeCell ref="C231:H231"/>
    <mergeCell ref="I231:J231"/>
    <mergeCell ref="Q231:R231"/>
    <mergeCell ref="W238:AK238"/>
    <mergeCell ref="E240:R240"/>
    <mergeCell ref="W240:AK240"/>
    <mergeCell ref="AG233:AH233"/>
    <mergeCell ref="AI233:AJ233"/>
    <mergeCell ref="AK233:AM233"/>
    <mergeCell ref="Z233:AA233"/>
    <mergeCell ref="H246:R246"/>
    <mergeCell ref="AG246:AH246"/>
    <mergeCell ref="K248:T248"/>
    <mergeCell ref="V248:X248"/>
    <mergeCell ref="Y248:AG248"/>
    <mergeCell ref="C242:F242"/>
    <mergeCell ref="I242:K242"/>
    <mergeCell ref="AB242:AC242"/>
    <mergeCell ref="Y244:AO244"/>
    <mergeCell ref="C234:H234"/>
    <mergeCell ref="I234:J234"/>
    <mergeCell ref="Q234:R234"/>
    <mergeCell ref="S234:T234"/>
    <mergeCell ref="W234:X234"/>
    <mergeCell ref="Z234:AA234"/>
    <mergeCell ref="AG234:AH234"/>
    <mergeCell ref="AI234:AJ234"/>
    <mergeCell ref="AK234:AM234"/>
    <mergeCell ref="AN234:AO234"/>
    <mergeCell ref="AN249:AO251"/>
    <mergeCell ref="AI250:AJ250"/>
    <mergeCell ref="AK250:AM250"/>
    <mergeCell ref="AK252:AM252"/>
    <mergeCell ref="AN252:AO252"/>
    <mergeCell ref="C249:F249"/>
    <mergeCell ref="I249:N249"/>
    <mergeCell ref="Q249:X249"/>
    <mergeCell ref="Y249:AA249"/>
    <mergeCell ref="Z250:AA250"/>
    <mergeCell ref="AG250:AH250"/>
    <mergeCell ref="C250:H250"/>
    <mergeCell ref="I250:J250"/>
    <mergeCell ref="K250:N250"/>
    <mergeCell ref="Q250:R250"/>
    <mergeCell ref="AB249:AB251"/>
    <mergeCell ref="AC249:AC253"/>
    <mergeCell ref="AD249:AM249"/>
    <mergeCell ref="K251:L252"/>
    <mergeCell ref="M251:N252"/>
    <mergeCell ref="Q251:R251"/>
    <mergeCell ref="W251:X251"/>
    <mergeCell ref="S250:T250"/>
    <mergeCell ref="W250:X250"/>
    <mergeCell ref="Z251:AA251"/>
    <mergeCell ref="AG251:AH251"/>
    <mergeCell ref="AI251:AJ251"/>
    <mergeCell ref="Q252:R252"/>
    <mergeCell ref="S252:T252"/>
    <mergeCell ref="W252:X252"/>
    <mergeCell ref="Z252:AA252"/>
    <mergeCell ref="AG252:AH252"/>
    <mergeCell ref="AI252:AJ252"/>
    <mergeCell ref="C254:H254"/>
    <mergeCell ref="I254:J254"/>
    <mergeCell ref="Q254:R254"/>
    <mergeCell ref="S254:T254"/>
    <mergeCell ref="W254:X254"/>
    <mergeCell ref="AG254:AH254"/>
    <mergeCell ref="AI254:AJ254"/>
    <mergeCell ref="AK254:AM254"/>
    <mergeCell ref="AN254:AO254"/>
    <mergeCell ref="M253:N253"/>
    <mergeCell ref="AI253:AJ253"/>
    <mergeCell ref="AN253:AO253"/>
    <mergeCell ref="Z254:AA254"/>
    <mergeCell ref="Z256:AA256"/>
    <mergeCell ref="S255:T255"/>
    <mergeCell ref="W255:X255"/>
    <mergeCell ref="Z255:AA255"/>
    <mergeCell ref="AG255:AH255"/>
    <mergeCell ref="C255:H255"/>
    <mergeCell ref="I255:J255"/>
    <mergeCell ref="Q255:R255"/>
    <mergeCell ref="C256:H256"/>
    <mergeCell ref="I256:J256"/>
    <mergeCell ref="Q256:R256"/>
    <mergeCell ref="S256:T256"/>
    <mergeCell ref="W256:X256"/>
    <mergeCell ref="AG256:AH256"/>
    <mergeCell ref="AI256:AJ256"/>
    <mergeCell ref="AK256:AM256"/>
    <mergeCell ref="AN256:AO256"/>
    <mergeCell ref="AI255:AJ255"/>
    <mergeCell ref="S260:T260"/>
    <mergeCell ref="W260:X260"/>
    <mergeCell ref="AG260:AH260"/>
    <mergeCell ref="AI260:AJ260"/>
    <mergeCell ref="AK255:AM255"/>
    <mergeCell ref="AN255:AO255"/>
    <mergeCell ref="Z258:AA258"/>
    <mergeCell ref="S257:T257"/>
    <mergeCell ref="W257:X257"/>
    <mergeCell ref="Z257:AA257"/>
    <mergeCell ref="AG257:AH257"/>
    <mergeCell ref="C257:H257"/>
    <mergeCell ref="I257:J257"/>
    <mergeCell ref="Q257:R257"/>
    <mergeCell ref="C258:H258"/>
    <mergeCell ref="I258:J258"/>
    <mergeCell ref="Q258:R258"/>
    <mergeCell ref="S258:T258"/>
    <mergeCell ref="W258:X258"/>
    <mergeCell ref="AG258:AH258"/>
    <mergeCell ref="AI258:AJ258"/>
    <mergeCell ref="AK258:AM258"/>
    <mergeCell ref="AN258:AO258"/>
    <mergeCell ref="AI257:AJ257"/>
    <mergeCell ref="AK257:AM257"/>
    <mergeCell ref="AN257:AO257"/>
    <mergeCell ref="AK260:AM260"/>
    <mergeCell ref="AN260:AO260"/>
    <mergeCell ref="AI259:AJ259"/>
    <mergeCell ref="AK259:AM259"/>
    <mergeCell ref="AN259:AO259"/>
    <mergeCell ref="Z260:AA260"/>
    <mergeCell ref="Z262:AA262"/>
    <mergeCell ref="S261:T261"/>
    <mergeCell ref="W261:X261"/>
    <mergeCell ref="Z261:AA261"/>
    <mergeCell ref="AG261:AH261"/>
    <mergeCell ref="C261:H261"/>
    <mergeCell ref="I261:J261"/>
    <mergeCell ref="Q261:R261"/>
    <mergeCell ref="C262:H262"/>
    <mergeCell ref="I262:J262"/>
    <mergeCell ref="Q262:R262"/>
    <mergeCell ref="S262:T262"/>
    <mergeCell ref="W262:X262"/>
    <mergeCell ref="AG262:AH262"/>
    <mergeCell ref="AI262:AJ262"/>
    <mergeCell ref="AK262:AM262"/>
    <mergeCell ref="AN262:AO262"/>
    <mergeCell ref="AI261:AJ261"/>
    <mergeCell ref="AK261:AM261"/>
    <mergeCell ref="AN261:AO261"/>
    <mergeCell ref="S259:T259"/>
    <mergeCell ref="W259:X259"/>
    <mergeCell ref="Z259:AA259"/>
    <mergeCell ref="AG259:AH259"/>
    <mergeCell ref="C259:H259"/>
    <mergeCell ref="I259:J259"/>
    <mergeCell ref="M260:N260"/>
    <mergeCell ref="M261:N261"/>
    <mergeCell ref="AN265:AO265"/>
    <mergeCell ref="Z264:AA264"/>
    <mergeCell ref="S263:T263"/>
    <mergeCell ref="W263:X263"/>
    <mergeCell ref="Z263:AA263"/>
    <mergeCell ref="AG263:AH263"/>
    <mergeCell ref="C263:H263"/>
    <mergeCell ref="I263:J263"/>
    <mergeCell ref="Q263:R263"/>
    <mergeCell ref="C264:H264"/>
    <mergeCell ref="I264:J264"/>
    <mergeCell ref="Q264:R264"/>
    <mergeCell ref="S264:T264"/>
    <mergeCell ref="W264:X264"/>
    <mergeCell ref="AG264:AH264"/>
    <mergeCell ref="AI264:AJ264"/>
    <mergeCell ref="AK265:AM265"/>
    <mergeCell ref="M262:N262"/>
    <mergeCell ref="M263:N263"/>
    <mergeCell ref="M264:N264"/>
    <mergeCell ref="M265:N265"/>
    <mergeCell ref="Q259:R259"/>
    <mergeCell ref="C260:H260"/>
    <mergeCell ref="I260:J260"/>
    <mergeCell ref="AI263:AJ263"/>
    <mergeCell ref="AK263:AM263"/>
    <mergeCell ref="AN263:AO263"/>
    <mergeCell ref="Z266:AA266"/>
    <mergeCell ref="S265:T265"/>
    <mergeCell ref="W265:X265"/>
    <mergeCell ref="Z265:AA265"/>
    <mergeCell ref="AG265:AH265"/>
    <mergeCell ref="C265:H265"/>
    <mergeCell ref="I265:J265"/>
    <mergeCell ref="Q265:R265"/>
    <mergeCell ref="C266:H266"/>
    <mergeCell ref="I266:J266"/>
    <mergeCell ref="Q266:R266"/>
    <mergeCell ref="S266:T266"/>
    <mergeCell ref="W266:X266"/>
    <mergeCell ref="AG266:AH266"/>
    <mergeCell ref="AI266:AJ266"/>
    <mergeCell ref="AK266:AM266"/>
    <mergeCell ref="AN266:AO266"/>
    <mergeCell ref="AI265:AJ265"/>
    <mergeCell ref="AI270:AJ270"/>
    <mergeCell ref="AK270:AM270"/>
    <mergeCell ref="AN270:AO270"/>
    <mergeCell ref="AI269:AJ269"/>
    <mergeCell ref="AK269:AM269"/>
    <mergeCell ref="AN269:AO269"/>
    <mergeCell ref="Z268:AA268"/>
    <mergeCell ref="S267:T267"/>
    <mergeCell ref="I267:J267"/>
    <mergeCell ref="Q267:R267"/>
    <mergeCell ref="C268:H268"/>
    <mergeCell ref="AN268:AO268"/>
    <mergeCell ref="I268:J268"/>
    <mergeCell ref="Q268:R268"/>
    <mergeCell ref="S268:T268"/>
    <mergeCell ref="W268:X268"/>
    <mergeCell ref="AK264:AM264"/>
    <mergeCell ref="AN264:AO264"/>
    <mergeCell ref="AG268:AH268"/>
    <mergeCell ref="AN273:AO273"/>
    <mergeCell ref="Z272:AA272"/>
    <mergeCell ref="S271:T271"/>
    <mergeCell ref="W271:X271"/>
    <mergeCell ref="Z271:AA271"/>
    <mergeCell ref="AG271:AH271"/>
    <mergeCell ref="C271:H271"/>
    <mergeCell ref="I271:J271"/>
    <mergeCell ref="Q271:R271"/>
    <mergeCell ref="C272:H272"/>
    <mergeCell ref="I272:J272"/>
    <mergeCell ref="Q272:R272"/>
    <mergeCell ref="S272:T272"/>
    <mergeCell ref="W272:X272"/>
    <mergeCell ref="AG272:AH272"/>
    <mergeCell ref="AI272:AJ272"/>
    <mergeCell ref="AK267:AM267"/>
    <mergeCell ref="AN267:AO267"/>
    <mergeCell ref="Z270:AA270"/>
    <mergeCell ref="S269:T269"/>
    <mergeCell ref="W269:X269"/>
    <mergeCell ref="Z269:AA269"/>
    <mergeCell ref="AG269:AH269"/>
    <mergeCell ref="C269:H269"/>
    <mergeCell ref="I269:J269"/>
    <mergeCell ref="Q269:R269"/>
    <mergeCell ref="C270:H270"/>
    <mergeCell ref="I270:J270"/>
    <mergeCell ref="Q270:R270"/>
    <mergeCell ref="S270:T270"/>
    <mergeCell ref="W270:X270"/>
    <mergeCell ref="AG270:AH270"/>
    <mergeCell ref="H287:R287"/>
    <mergeCell ref="AG287:AH287"/>
    <mergeCell ref="I70:J70"/>
    <mergeCell ref="Q70:R70"/>
    <mergeCell ref="S70:T70"/>
    <mergeCell ref="W70:X70"/>
    <mergeCell ref="Z70:AA70"/>
    <mergeCell ref="AG70:AH70"/>
    <mergeCell ref="C193:H193"/>
    <mergeCell ref="I193:J193"/>
    <mergeCell ref="C283:F283"/>
    <mergeCell ref="I283:K283"/>
    <mergeCell ref="AB283:AC283"/>
    <mergeCell ref="Y285:AO285"/>
    <mergeCell ref="E279:R279"/>
    <mergeCell ref="W279:AK279"/>
    <mergeCell ref="E281:R281"/>
    <mergeCell ref="W281:AK281"/>
    <mergeCell ref="AK272:AM272"/>
    <mergeCell ref="AN272:AO272"/>
    <mergeCell ref="AI271:AJ271"/>
    <mergeCell ref="AK271:AM271"/>
    <mergeCell ref="AN271:AO271"/>
    <mergeCell ref="Z274:AA274"/>
    <mergeCell ref="S273:T273"/>
    <mergeCell ref="W273:X273"/>
    <mergeCell ref="Z273:AA273"/>
    <mergeCell ref="AG273:AH273"/>
    <mergeCell ref="C273:H273"/>
    <mergeCell ref="I273:J273"/>
    <mergeCell ref="C111:H111"/>
    <mergeCell ref="I111:J111"/>
    <mergeCell ref="S150:T150"/>
    <mergeCell ref="W150:X150"/>
    <mergeCell ref="Z150:AA150"/>
    <mergeCell ref="AG150:AH150"/>
    <mergeCell ref="C150:H150"/>
    <mergeCell ref="I150:J150"/>
    <mergeCell ref="Q150:R150"/>
    <mergeCell ref="AI150:AJ150"/>
    <mergeCell ref="AK150:AM150"/>
    <mergeCell ref="M146:N146"/>
    <mergeCell ref="AN275:AO275"/>
    <mergeCell ref="Q48:R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AI70:AJ70"/>
    <mergeCell ref="AN274:AO274"/>
    <mergeCell ref="AI273:AJ273"/>
    <mergeCell ref="AK273:AM273"/>
    <mergeCell ref="M66:N66"/>
    <mergeCell ref="M67:N67"/>
    <mergeCell ref="M68:N68"/>
    <mergeCell ref="M69:N69"/>
    <mergeCell ref="AK70:AM70"/>
    <mergeCell ref="AN70:AO70"/>
    <mergeCell ref="M102:N102"/>
    <mergeCell ref="M103:N103"/>
    <mergeCell ref="M104:N104"/>
    <mergeCell ref="M105:N105"/>
    <mergeCell ref="M106:N106"/>
    <mergeCell ref="M107:N107"/>
    <mergeCell ref="M108:N108"/>
    <mergeCell ref="M148:N148"/>
    <mergeCell ref="M149:N149"/>
    <mergeCell ref="M150:N150"/>
    <mergeCell ref="E156:R156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45:N145"/>
    <mergeCell ref="M147:N147"/>
    <mergeCell ref="Q89:R89"/>
    <mergeCell ref="Q130:R130"/>
    <mergeCell ref="AK149:AM149"/>
    <mergeCell ref="AN149:AO149"/>
    <mergeCell ref="AI148:AJ148"/>
    <mergeCell ref="C275:H275"/>
    <mergeCell ref="I275:J275"/>
    <mergeCell ref="Q275:R275"/>
    <mergeCell ref="S275:T275"/>
    <mergeCell ref="W275:X275"/>
    <mergeCell ref="Z275:AA275"/>
    <mergeCell ref="AG275:AH275"/>
    <mergeCell ref="AI275:AJ275"/>
    <mergeCell ref="AK275:AM275"/>
    <mergeCell ref="Q273:R273"/>
    <mergeCell ref="C274:H274"/>
    <mergeCell ref="I274:J274"/>
    <mergeCell ref="Q274:R274"/>
    <mergeCell ref="S274:T274"/>
    <mergeCell ref="W274:X274"/>
    <mergeCell ref="AG274:AH274"/>
    <mergeCell ref="AI274:AJ274"/>
    <mergeCell ref="AK274:AM274"/>
    <mergeCell ref="M275:N275"/>
    <mergeCell ref="AK268:AM268"/>
    <mergeCell ref="M266:N266"/>
    <mergeCell ref="W267:X267"/>
    <mergeCell ref="Z267:AA267"/>
    <mergeCell ref="AG267:AH267"/>
    <mergeCell ref="C267:H267"/>
    <mergeCell ref="M184:N184"/>
    <mergeCell ref="AI268:AJ268"/>
    <mergeCell ref="M185:N185"/>
    <mergeCell ref="AI267:AJ267"/>
    <mergeCell ref="M186:N186"/>
    <mergeCell ref="M187:N187"/>
    <mergeCell ref="E197:R197"/>
    <mergeCell ref="M189:N189"/>
    <mergeCell ref="C189:H189"/>
    <mergeCell ref="I189:J189"/>
    <mergeCell ref="M70:N70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88:N188"/>
    <mergeCell ref="M134:N134"/>
    <mergeCell ref="M135:N135"/>
    <mergeCell ref="Q171:R171"/>
    <mergeCell ref="Q212:R212"/>
    <mergeCell ref="Q253:R253"/>
    <mergeCell ref="M230:N230"/>
    <mergeCell ref="M231:N231"/>
    <mergeCell ref="M232:N232"/>
    <mergeCell ref="M233:N233"/>
    <mergeCell ref="M234:N234"/>
    <mergeCell ref="M254:N254"/>
    <mergeCell ref="M255:N255"/>
    <mergeCell ref="M256:N256"/>
    <mergeCell ref="M257:N257"/>
    <mergeCell ref="M258:N258"/>
    <mergeCell ref="M216:N216"/>
    <mergeCell ref="M217:N217"/>
    <mergeCell ref="M218:N218"/>
    <mergeCell ref="M219:N219"/>
    <mergeCell ref="M220:N220"/>
    <mergeCell ref="M221:N221"/>
    <mergeCell ref="M222:N222"/>
    <mergeCell ref="M223:N223"/>
    <mergeCell ref="M224:N224"/>
    <mergeCell ref="M225:N225"/>
    <mergeCell ref="M226:N226"/>
    <mergeCell ref="M227:N227"/>
    <mergeCell ref="M228:N228"/>
    <mergeCell ref="M229:N229"/>
    <mergeCell ref="E238:R238"/>
    <mergeCell ref="Q218:R218"/>
    <mergeCell ref="M259:N259"/>
    <mergeCell ref="Q260:R260"/>
    <mergeCell ref="X32:AF32"/>
    <mergeCell ref="Z31:AF31"/>
    <mergeCell ref="P31:U31"/>
    <mergeCell ref="P32:U32"/>
    <mergeCell ref="A32:L32"/>
    <mergeCell ref="A31:L31"/>
    <mergeCell ref="AM34:AO34"/>
    <mergeCell ref="M267:N267"/>
    <mergeCell ref="M268:N268"/>
    <mergeCell ref="M269:N269"/>
    <mergeCell ref="M270:N270"/>
    <mergeCell ref="M271:N271"/>
    <mergeCell ref="M272:N272"/>
    <mergeCell ref="M273:N273"/>
    <mergeCell ref="M274:N274"/>
    <mergeCell ref="C219:H219"/>
    <mergeCell ref="I219:J219"/>
    <mergeCell ref="Q219:R219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M180:N180"/>
    <mergeCell ref="M181:N181"/>
    <mergeCell ref="M182:N182"/>
    <mergeCell ref="M183:N183"/>
  </mergeCells>
  <phoneticPr fontId="0" type="noConversion"/>
  <conditionalFormatting sqref="A12:D12 I12:K12 Q12:S12 X12:AA12 AH12:AM12">
    <cfRule type="expression" dxfId="13" priority="15" stopIfTrue="1">
      <formula>OR($E$12="þ",$L$12="þ",$T$12="þ",$AD$12="þ",$AN$12="þ")</formula>
    </cfRule>
  </conditionalFormatting>
  <conditionalFormatting sqref="D10">
    <cfRule type="expression" dxfId="12" priority="52" stopIfTrue="1">
      <formula>$D$10=""</formula>
    </cfRule>
  </conditionalFormatting>
  <conditionalFormatting sqref="E11:K11 M11:Q11 T11:W11">
    <cfRule type="expression" dxfId="11" priority="25" stopIfTrue="1">
      <formula>OR($S$11="þ",$X$11="þ",$L$11="þ")</formula>
    </cfRule>
  </conditionalFormatting>
  <conditionalFormatting sqref="G33:L34">
    <cfRule type="expression" dxfId="10" priority="10" stopIfTrue="1">
      <formula>OR($M$33="þ",$M$34="þ",)</formula>
    </cfRule>
  </conditionalFormatting>
  <conditionalFormatting sqref="N5:Q5">
    <cfRule type="expression" dxfId="9" priority="37" stopIfTrue="1">
      <formula>$N$5=""</formula>
    </cfRule>
  </conditionalFormatting>
  <conditionalFormatting sqref="T33:X33">
    <cfRule type="expression" dxfId="8" priority="7" stopIfTrue="1">
      <formula>$AF$34="þ"</formula>
    </cfRule>
    <cfRule type="expression" dxfId="7" priority="8" stopIfTrue="1">
      <formula>$AF$33="þ"</formula>
    </cfRule>
  </conditionalFormatting>
  <conditionalFormatting sqref="U13 Y13 AD13:AF13 AI13 AM13">
    <cfRule type="expression" dxfId="6" priority="20" stopIfTrue="1">
      <formula>OR($V$13="þ",$Z$13="þ",$AG$13="þ",$AJ$13="þ",$AN$13="þ")</formula>
    </cfRule>
  </conditionalFormatting>
  <conditionalFormatting sqref="U10">
    <cfRule type="expression" dxfId="5" priority="53" stopIfTrue="1">
      <formula>$U$10=""</formula>
    </cfRule>
  </conditionalFormatting>
  <conditionalFormatting sqref="AD11:AF11">
    <cfRule type="expression" dxfId="4" priority="22" stopIfTrue="1">
      <formula>$AH$11="þ"</formula>
    </cfRule>
  </conditionalFormatting>
  <conditionalFormatting sqref="AM33:AO33">
    <cfRule type="cellIs" dxfId="3" priority="4" stopIfTrue="1" operator="equal">
      <formula>0</formula>
    </cfRule>
    <cfRule type="cellIs" dxfId="2" priority="5" stopIfTrue="1" operator="equal">
      <formula>1</formula>
    </cfRule>
  </conditionalFormatting>
  <conditionalFormatting sqref="C49:C70 C90:C95 C131:C152 C172:C193 C213:C234 C254:C275 C99:C111">
    <cfRule type="cellIs" dxfId="1" priority="2" operator="equal">
      <formula>"KZM"</formula>
    </cfRule>
  </conditionalFormatting>
  <conditionalFormatting sqref="C96:C98">
    <cfRule type="cellIs" dxfId="0" priority="1" operator="equal">
      <formula>"KZM"</formula>
    </cfRule>
  </conditionalFormatting>
  <dataValidations count="1">
    <dataValidation type="list" allowBlank="1" showErrorMessage="1" sqref="S11 X11 E12 T12 AN12:AN13 V13 Z13:AA13 AG13 AJ13 K71 P27 H28:H30 O28:O30 V28:V30 AF28:AF30 AL16:AM25 M33:M34 AF33:AF34 AM317 W211 S74 AM74 S76 AM76 AC213:AC234 AD12 AH11 AM319 L11:L12 S279 AM238 S281 AM240 W34 Y209:Z209 K235 S238 AM197 AM279 AC49:AC70 Y45:Z45 S319 AC254:AC275 K112 S115 AM115 S117 AM117 AC90:AC111 W88 Y86:Z86 K153 S156 W252 S158 Y250:Z250 AC131:AC152 W129 Y127:Z127 K194 S197 AM156 S199 AM158 AC172:AC193 W170 Y168:Z168 S240 AM199 K276 S317 AM281 W47 K16:L25 AN28:AN30 W16:X25">
      <formula1>"þ,o"</formula1>
      <formula2>0</formula2>
    </dataValidation>
  </dataValidations>
  <printOptions horizontalCentered="1" verticalCentered="1"/>
  <pageMargins left="0" right="0" top="0" bottom="0" header="0" footer="0"/>
  <pageSetup paperSize="9" scale="89" fitToHeight="3" orientation="landscape" r:id="rId1"/>
  <headerFooter alignWithMargins="0">
    <oddHeader>&amp;L&amp;"Arial"&amp;8&amp;K000000INTERNAL&amp;1#</oddHeader>
  </headerFooter>
  <rowBreaks count="3" manualBreakCount="3">
    <brk id="39" max="40" man="1"/>
    <brk id="80" max="40" man="1"/>
    <brk id="121" max="40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E4258A74FD3747A19BEBD50807A676" ma:contentTypeVersion="25" ma:contentTypeDescription="Create a new document." ma:contentTypeScope="" ma:versionID="6374f5541de236b2a765f9457208c8a1">
  <xsd:schema xmlns:xsd="http://www.w3.org/2001/XMLSchema" xmlns:xs="http://www.w3.org/2001/XMLSchema" xmlns:p="http://schemas.microsoft.com/office/2006/metadata/properties" xmlns:ns1="http://schemas.microsoft.com/sharepoint/v3" xmlns:ns2="2348690c-e7e0-49d2-b2ad-c4014324f030" xmlns:ns3="cf8cbf1e-60e8-490a-823b-b5b42d1427ef" targetNamespace="http://schemas.microsoft.com/office/2006/metadata/properties" ma:root="true" ma:fieldsID="a7249a4bffa3d8afc4fe9d16434ec786" ns1:_="" ns2:_="" ns3:_="">
    <xsd:import namespace="http://schemas.microsoft.com/sharepoint/v3"/>
    <xsd:import namespace="2348690c-e7e0-49d2-b2ad-c4014324f030"/>
    <xsd:import namespace="cf8cbf1e-60e8-490a-823b-b5b42d1427ef"/>
    <xsd:element name="properties">
      <xsd:complexType>
        <xsd:sequence>
          <xsd:element name="documentManagement">
            <xsd:complexType>
              <xsd:all>
                <xsd:element ref="ns2:c5695b7e6f3945e1afbce8ee0567c45d" minOccurs="0"/>
                <xsd:element ref="ns2:TaxCatchAll" minOccurs="0"/>
                <xsd:element ref="ns2:TaxCatchAllLabel" minOccurs="0"/>
                <xsd:element ref="ns2:i0f84bba906045b4af568ee102a52dcb" minOccurs="0"/>
                <xsd:element ref="ns2:RevIMDeletionDate" minOccurs="0"/>
                <xsd:element ref="ns2:RevIMEventDate" minOccurs="0"/>
                <xsd:element ref="ns2:RevIMComments" minOccurs="0"/>
                <xsd:element ref="ns2:RevIMDocumentOwner" minOccurs="0"/>
                <xsd:element ref="ns2:RevIMExtends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Finanz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48690c-e7e0-49d2-b2ad-c4014324f030" elementFormDefault="qualified">
    <xsd:import namespace="http://schemas.microsoft.com/office/2006/documentManagement/types"/>
    <xsd:import namespace="http://schemas.microsoft.com/office/infopath/2007/PartnerControls"/>
    <xsd:element name="c5695b7e6f3945e1afbce8ee0567c45d" ma:index="8" nillable="true" ma:taxonomy="true" ma:internalName="c5695b7e6f3945e1afbce8ee0567c45d" ma:taxonomyFieldName="LegalHoldTag" ma:displayName="LegalHold" ma:fieldId="{c5695b7e-6f39-45e1-afbc-e8ee0567c45d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d4abc3a6-d1ce-434a-bf35-406ebbe47d31}" ma:internalName="TaxCatchAll" ma:showField="CatchAllData" ma:web="2348690c-e7e0-49d2-b2ad-c4014324f0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d4abc3a6-d1ce-434a-bf35-406ebbe47d31}" ma:internalName="TaxCatchAllLabel" ma:readOnly="true" ma:showField="CatchAllDataLabel" ma:web="2348690c-e7e0-49d2-b2ad-c4014324f0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3" nillable="true" ma:taxonomy="true" ma:internalName="i0f84bba906045b4af568ee102a52dcb" ma:taxonomyFieldName="RevIMBCS" ma:displayName="CSD Class" ma:readOnly="true" ma:default="2;#3.3 Gebäudeunterlagen|6e8c90b5-a4e0-4102-b842-f9c29ff3ca22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4" nillable="true" ma:displayName="Deletion Date" ma:description="Deletion Date" ma:format="DateOnly" ma:internalName="RevIMDeletionDate" ma:readOnly="true">
      <xsd:simpleType>
        <xsd:restriction base="dms:DateTime"/>
      </xsd:simpleType>
    </xsd:element>
    <xsd:element name="RevIMEventDate" ma:index="15" nillable="true" ma:displayName="Event Date" ma:description="Event Date" ma:format="DateOnly" ma:internalName="RevIMEventDate" ma:readOnly="true">
      <xsd:simpleType>
        <xsd:restriction base="dms:DateTime"/>
      </xsd:simpleType>
    </xsd:element>
    <xsd:element name="RevIMComments" ma:index="16" nillable="true" ma:displayName="Event Comment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17" nillable="true" ma:displayName="Document Own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18" nillable="true" ma:displayName="RevIMExtends" ma:hidden="true" ma:internalName="RevIMExtends" ma:readOnly="true">
      <xsd:simpleType>
        <xsd:restriction base="dms:Not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cbf1e-60e8-490a-823b-b5b42d1427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d35d9ec1-ff0e-4daf-94ff-594c76aa18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3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Finanz" ma:index="34" nillable="true" ma:displayName="Finanz" ma:format="Dropdown" ma:internalName="Finanz">
      <xsd:simpleType>
        <xsd:restriction base="dms:Text">
          <xsd:maxLength value="255"/>
        </xsd:restriction>
      </xsd:simpleType>
    </xsd:element>
    <xsd:element name="MediaServiceSearchProperties" ma:index="3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c5695b7e6f3945e1afbce8ee0567c45d xmlns="2348690c-e7e0-49d2-b2ad-c4014324f030">
      <Terms xmlns="http://schemas.microsoft.com/office/infopath/2007/PartnerControls"/>
    </c5695b7e6f3945e1afbce8ee0567c45d>
    <lcf76f155ced4ddcb4097134ff3c332f xmlns="cf8cbf1e-60e8-490a-823b-b5b42d1427ef">
      <Terms xmlns="http://schemas.microsoft.com/office/infopath/2007/PartnerControls"/>
    </lcf76f155ced4ddcb4097134ff3c332f>
    <TaxCatchAll xmlns="2348690c-e7e0-49d2-b2ad-c4014324f030">
      <Value>2</Value>
    </TaxCatchAll>
    <Finanz xmlns="cf8cbf1e-60e8-490a-823b-b5b42d1427ef" xsi:nil="true"/>
    <RevIMDocumentOwner xmlns="2348690c-e7e0-49d2-b2ad-c4014324f030">
      <UserInfo>
        <DisplayName/>
        <AccountId xsi:nil="true"/>
        <AccountType/>
      </UserInfo>
    </RevIMDocumentOwner>
    <RevIMComments xmlns="2348690c-e7e0-49d2-b2ad-c4014324f030" xsi:nil="true"/>
    <RevIMDeletionDate xmlns="2348690c-e7e0-49d2-b2ad-c4014324f030">3023-11-05T06:35:42+00:00</RevIMDeletionDate>
    <i0f84bba906045b4af568ee102a52dcb xmlns="2348690c-e7e0-49d2-b2ad-c4014324f030">
      <Terms xmlns="http://schemas.microsoft.com/office/infopath/2007/PartnerControls">
        <TermInfo xmlns="http://schemas.microsoft.com/office/infopath/2007/PartnerControls">
          <TermName xmlns="http://schemas.microsoft.com/office/infopath/2007/PartnerControls">3.3 Building documents</TermName>
          <TermId xmlns="http://schemas.microsoft.com/office/infopath/2007/PartnerControls">6e8c90b5-a4e0-4102-b842-f9c29ff3ca22</TermId>
        </TermInfo>
      </Terms>
    </i0f84bba906045b4af568ee102a52dcb>
    <RevIMEventDate xmlns="2348690c-e7e0-49d2-b2ad-c4014324f030" xsi:nil="true"/>
    <RevIMExtends xmlns="2348690c-e7e0-49d2-b2ad-c4014324f030">{"Locked":null,"LockedBy":null,"UnLocked":null,"UnLockedBy":null,"Classified":"2024-11-05T06:36:21.086Z","KSUClass":"6e8c90b5-a4e0-4102-b842-f9c29ff3ca22","Reclassified":null,"ReclassifiedBy":null,"EDReclassified":null,"EDReclassifiedBy":null,"EventCreated":null,"EventModified":null,"EventDeleted":null,"EventCreatedBy":null,"EventModifiedBy":null,"EventDeletedBy":null,"Moved":null,"MovedBy":null,"MovedFrom":null}</RevIMExtends>
  </documentManagement>
</p:properties>
</file>

<file path=customXml/itemProps1.xml><?xml version="1.0" encoding="utf-8"?>
<ds:datastoreItem xmlns:ds="http://schemas.openxmlformats.org/officeDocument/2006/customXml" ds:itemID="{A4363890-2C0A-45EA-AE81-C0E33A4AFD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FA59D7-CB24-47B9-BCCD-1C94EC1CA4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348690c-e7e0-49d2-b2ad-c4014324f030"/>
    <ds:schemaRef ds:uri="cf8cbf1e-60e8-490a-823b-b5b42d1427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8A6120-FC9D-4592-86E5-A6EBF869E92F}">
  <ds:schemaRefs>
    <ds:schemaRef ds:uri="http://schemas.microsoft.com/office/2006/metadata/properties"/>
    <ds:schemaRef ds:uri="c97f2c17-1d63-4761-813d-6a93ce8f3f2e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8c5a3011-5b2b-4034-b688-1612c0e96018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  <ds:schemaRef ds:uri="2348690c-e7e0-49d2-b2ad-c4014324f030"/>
    <ds:schemaRef ds:uri="cf8cbf1e-60e8-490a-823b-b5b42d1427ef"/>
  </ds:schemaRefs>
</ds:datastoreItem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11</vt:i4>
      </vt:variant>
    </vt:vector>
  </HeadingPairs>
  <TitlesOfParts>
    <vt:vector size="12" baseType="lpstr">
      <vt:lpstr>Vorlage</vt:lpstr>
      <vt:lpstr>Vorlage!Druckbereich</vt:lpstr>
      <vt:lpstr>J.Konitz</vt:lpstr>
      <vt:lpstr>Vorlage!Kontrollkästchen1</vt:lpstr>
      <vt:lpstr>Vorlage!Kontrollkästchen10</vt:lpstr>
      <vt:lpstr>Vorlage!Kontrollkästchen11</vt:lpstr>
      <vt:lpstr>Vorlage!Kontrollkästchen2</vt:lpstr>
      <vt:lpstr>Vorlage!Kontrollkästchen4</vt:lpstr>
      <vt:lpstr>Vorlage!Kontrollkästchen6</vt:lpstr>
      <vt:lpstr>Vorlage!Kontrollkästchen8</vt:lpstr>
      <vt:lpstr>Vorlage!S.Wendler</vt:lpstr>
      <vt:lpstr>S.Wendler</vt:lpstr>
    </vt:vector>
  </TitlesOfParts>
  <Company>EAW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</dc:creator>
  <cp:lastModifiedBy>Maengel EAW</cp:lastModifiedBy>
  <cp:lastPrinted>2025-10-16T05:43:17Z</cp:lastPrinted>
  <dcterms:created xsi:type="dcterms:W3CDTF">2014-05-08T12:28:25Z</dcterms:created>
  <dcterms:modified xsi:type="dcterms:W3CDTF">2025-12-09T06:33:30Z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0x01010038E4258A74FD3747A19BEBD50807A676</vt:lpwstr>
  </property>
  <property fmtid="{D5CDD505-2E9C-101B-9397-08002B2CF9AE}" pid="3" name="MSIP_Label_b1c9b508-7c6e-42bd-bedf-808292653d6c_Enabled">
    <vt:lpwstr>true</vt:lpwstr>
  </property>
  <property fmtid="{D5CDD505-2E9C-101B-9397-08002B2CF9AE}" pid="4" name="MSIP_Label_b1c9b508-7c6e-42bd-bedf-808292653d6c_SetDate">
    <vt:lpwstr>2024-02-06T09:56:44Z</vt:lpwstr>
  </property>
  <property fmtid="{D5CDD505-2E9C-101B-9397-08002B2CF9AE}" pid="5" name="MSIP_Label_b1c9b508-7c6e-42bd-bedf-808292653d6c_Method">
    <vt:lpwstr>Standard</vt:lpwstr>
  </property>
  <property fmtid="{D5CDD505-2E9C-101B-9397-08002B2CF9AE}" pid="6" name="MSIP_Label_b1c9b508-7c6e-42bd-bedf-808292653d6c_Name">
    <vt:lpwstr>b1c9b508-7c6e-42bd-bedf-808292653d6c</vt:lpwstr>
  </property>
  <property fmtid="{D5CDD505-2E9C-101B-9397-08002B2CF9AE}" pid="7" name="MSIP_Label_b1c9b508-7c6e-42bd-bedf-808292653d6c_SiteId">
    <vt:lpwstr>2882be50-2012-4d88-ac86-544124e120c8</vt:lpwstr>
  </property>
  <property fmtid="{D5CDD505-2E9C-101B-9397-08002B2CF9AE}" pid="8" name="MSIP_Label_b1c9b508-7c6e-42bd-bedf-808292653d6c_ActionId">
    <vt:lpwstr>131c5bfc-ca25-40d0-944d-2d4d6207c786</vt:lpwstr>
  </property>
  <property fmtid="{D5CDD505-2E9C-101B-9397-08002B2CF9AE}" pid="9" name="MSIP_Label_b1c9b508-7c6e-42bd-bedf-808292653d6c_ContentBits">
    <vt:lpwstr>3</vt:lpwstr>
  </property>
  <property fmtid="{D5CDD505-2E9C-101B-9397-08002B2CF9AE}" pid="10" name="MediaServiceImageTags">
    <vt:lpwstr/>
  </property>
  <property fmtid="{D5CDD505-2E9C-101B-9397-08002B2CF9AE}" pid="11" name="RevIMBCS">
    <vt:lpwstr>2;#3.3 Building documents|6e8c90b5-a4e0-4102-b842-f9c29ff3ca22</vt:lpwstr>
  </property>
  <property fmtid="{D5CDD505-2E9C-101B-9397-08002B2CF9AE}" pid="12" name="LegalHoldTag">
    <vt:lpwstr/>
  </property>
</Properties>
</file>